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dra\Desktop\EXCEL REPORT\"/>
    </mc:Choice>
  </mc:AlternateContent>
  <bookViews>
    <workbookView xWindow="0" yWindow="0" windowWidth="23040" windowHeight="10524"/>
  </bookViews>
  <sheets>
    <sheet name="Table1" sheetId="2" r:id="rId1"/>
    <sheet name="Sheet1" sheetId="3" r:id="rId2"/>
    <sheet name="MessyData" sheetId="1" r:id="rId3"/>
  </sheets>
  <definedNames>
    <definedName name="ExternalData_1" localSheetId="0" hidden="1">Table1!$A$1:$P$101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2" l="1"/>
  <c r="S13" i="2" s="1"/>
  <c r="S9" i="2"/>
  <c r="S11" i="2" s="1"/>
  <c r="S8" i="2"/>
  <c r="S12" i="2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S6" i="2"/>
  <c r="S5" i="2"/>
  <c r="S4" i="2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<sst xmlns="http://schemas.openxmlformats.org/spreadsheetml/2006/main" count="1647" uniqueCount="443">
  <si>
    <t>ID</t>
  </si>
  <si>
    <t>Name</t>
  </si>
  <si>
    <t>Date</t>
  </si>
  <si>
    <t>Phone</t>
  </si>
  <si>
    <t>Email</t>
  </si>
  <si>
    <t>Amount</t>
  </si>
  <si>
    <t>City</t>
  </si>
  <si>
    <t>Gender</t>
  </si>
  <si>
    <t>Product</t>
  </si>
  <si>
    <t>Status</t>
  </si>
  <si>
    <t xml:space="preserve"> 101 </t>
  </si>
  <si>
    <t>chris</t>
  </si>
  <si>
    <t>March 9 2026</t>
  </si>
  <si>
    <t>9897989899</t>
  </si>
  <si>
    <t>chris@gmail</t>
  </si>
  <si>
    <t>3,232</t>
  </si>
  <si>
    <t>kochi</t>
  </si>
  <si>
    <t>m</t>
  </si>
  <si>
    <t>Tablet</t>
  </si>
  <si>
    <t>completed</t>
  </si>
  <si>
    <t xml:space="preserve"> 102 </t>
  </si>
  <si>
    <t>Sarah Lee</t>
  </si>
  <si>
    <t>7 mar 2026</t>
  </si>
  <si>
    <t>95583 86023</t>
  </si>
  <si>
    <t>sarahlee@gmail</t>
  </si>
  <si>
    <t>1241rs</t>
  </si>
  <si>
    <t>Ahmedabad</t>
  </si>
  <si>
    <t>male</t>
  </si>
  <si>
    <t>done</t>
  </si>
  <si>
    <t xml:space="preserve"> 103 </t>
  </si>
  <si>
    <t>MICHAEL</t>
  </si>
  <si>
    <t>10/03/26</t>
  </si>
  <si>
    <t>9327819786</t>
  </si>
  <si>
    <t>michael@mail..com</t>
  </si>
  <si>
    <t>2877rs</t>
  </si>
  <si>
    <t>Delhi</t>
  </si>
  <si>
    <t>MOBILE</t>
  </si>
  <si>
    <t>Pending</t>
  </si>
  <si>
    <t xml:space="preserve"> 104 </t>
  </si>
  <si>
    <t>john doe</t>
  </si>
  <si>
    <t>12-03-2026</t>
  </si>
  <si>
    <t>982899679</t>
  </si>
  <si>
    <t>johndoe@@mail.com</t>
  </si>
  <si>
    <t>₹4578</t>
  </si>
  <si>
    <t>laptop</t>
  </si>
  <si>
    <t>pending</t>
  </si>
  <si>
    <t xml:space="preserve"> 105 </t>
  </si>
  <si>
    <t>emily</t>
  </si>
  <si>
    <t>Mar 14 2026</t>
  </si>
  <si>
    <t>98607 72485</t>
  </si>
  <si>
    <t>emily@gmail.com</t>
  </si>
  <si>
    <t>3,755</t>
  </si>
  <si>
    <t>Bangalore</t>
  </si>
  <si>
    <t>Female</t>
  </si>
  <si>
    <t xml:space="preserve"> 106 </t>
  </si>
  <si>
    <t>08-03-2026</t>
  </si>
  <si>
    <t>9712224478</t>
  </si>
  <si>
    <t>sarahlee@mail..com</t>
  </si>
  <si>
    <t>4190rs</t>
  </si>
  <si>
    <t>mumbai</t>
  </si>
  <si>
    <t>F</t>
  </si>
  <si>
    <t>Completed</t>
  </si>
  <si>
    <t xml:space="preserve"> 107 </t>
  </si>
  <si>
    <t>98751 84380</t>
  </si>
  <si>
    <t>chris@@mail.com</t>
  </si>
  <si>
    <t>$2058</t>
  </si>
  <si>
    <t>pune</t>
  </si>
  <si>
    <t>M</t>
  </si>
  <si>
    <t>phone</t>
  </si>
  <si>
    <t xml:space="preserve"> 108 </t>
  </si>
  <si>
    <t>94285 20226</t>
  </si>
  <si>
    <t>michael@gmail</t>
  </si>
  <si>
    <t>4970rs</t>
  </si>
  <si>
    <t>Male</t>
  </si>
  <si>
    <t>Laptop</t>
  </si>
  <si>
    <t xml:space="preserve"> 109 </t>
  </si>
  <si>
    <t>11 mar 26</t>
  </si>
  <si>
    <t>9321418377x</t>
  </si>
  <si>
    <t>sarahlee@gmail.com</t>
  </si>
  <si>
    <t>4108</t>
  </si>
  <si>
    <t>f</t>
  </si>
  <si>
    <t xml:space="preserve"> 110 </t>
  </si>
  <si>
    <t>Alex</t>
  </si>
  <si>
    <t>952573594</t>
  </si>
  <si>
    <t>alex@mail..com</t>
  </si>
  <si>
    <t>$2697</t>
  </si>
  <si>
    <t>Kolkata</t>
  </si>
  <si>
    <t xml:space="preserve"> 111 </t>
  </si>
  <si>
    <t>abc9088634</t>
  </si>
  <si>
    <t>emily@mail..com</t>
  </si>
  <si>
    <t>2,226</t>
  </si>
  <si>
    <t xml:space="preserve"> 112 </t>
  </si>
  <si>
    <t xml:space="preserve"> JANE DOE</t>
  </si>
  <si>
    <t>16 mar 2026</t>
  </si>
  <si>
    <t>93273 74620</t>
  </si>
  <si>
    <t>janedoe@@mail.com</t>
  </si>
  <si>
    <t>2141rs</t>
  </si>
  <si>
    <t>HYDERABAD</t>
  </si>
  <si>
    <t>Mobile</t>
  </si>
  <si>
    <t xml:space="preserve"> 113 </t>
  </si>
  <si>
    <t>909030091</t>
  </si>
  <si>
    <t>$4944</t>
  </si>
  <si>
    <t xml:space="preserve"> 114 </t>
  </si>
  <si>
    <t>ROBERT</t>
  </si>
  <si>
    <t>949786321</t>
  </si>
  <si>
    <t>robert@gmail.com</t>
  </si>
  <si>
    <t>5,223</t>
  </si>
  <si>
    <t xml:space="preserve"> 115 </t>
  </si>
  <si>
    <t>92071 71738</t>
  </si>
  <si>
    <t>5,566</t>
  </si>
  <si>
    <t xml:space="preserve"> 116 </t>
  </si>
  <si>
    <t>95607 97352</t>
  </si>
  <si>
    <t>chris@mail..com</t>
  </si>
  <si>
    <t>₹2080</t>
  </si>
  <si>
    <t>Jaipur</t>
  </si>
  <si>
    <t xml:space="preserve"> 117 </t>
  </si>
  <si>
    <t>9986023765x</t>
  </si>
  <si>
    <t>3,548</t>
  </si>
  <si>
    <t xml:space="preserve"> 118 </t>
  </si>
  <si>
    <t>13/03/2026</t>
  </si>
  <si>
    <t>abc9239533</t>
  </si>
  <si>
    <t>2,991</t>
  </si>
  <si>
    <t xml:space="preserve"> 119 </t>
  </si>
  <si>
    <t>9309635814</t>
  </si>
  <si>
    <t>₹3238</t>
  </si>
  <si>
    <t>tablet</t>
  </si>
  <si>
    <t xml:space="preserve"> 120 </t>
  </si>
  <si>
    <t>9587836292</t>
  </si>
  <si>
    <t>5,291</t>
  </si>
  <si>
    <t>female</t>
  </si>
  <si>
    <t xml:space="preserve"> 121 </t>
  </si>
  <si>
    <t>91664 36490</t>
  </si>
  <si>
    <t>4,925</t>
  </si>
  <si>
    <t xml:space="preserve"> 122 </t>
  </si>
  <si>
    <t>93021 12943</t>
  </si>
  <si>
    <t>5,627</t>
  </si>
  <si>
    <t>Complete</t>
  </si>
  <si>
    <t xml:space="preserve"> 123 </t>
  </si>
  <si>
    <t>Anna Smith</t>
  </si>
  <si>
    <t>9651517836</t>
  </si>
  <si>
    <t>annasmith@gmail.com</t>
  </si>
  <si>
    <t>$2836</t>
  </si>
  <si>
    <t xml:space="preserve"> 124 </t>
  </si>
  <si>
    <t>david</t>
  </si>
  <si>
    <t>9456450560</t>
  </si>
  <si>
    <t>david@gmail.com</t>
  </si>
  <si>
    <t>3540rs</t>
  </si>
  <si>
    <t xml:space="preserve"> 125 </t>
  </si>
  <si>
    <t>9490687752x</t>
  </si>
  <si>
    <t>₹4899</t>
  </si>
  <si>
    <t xml:space="preserve"> 126 </t>
  </si>
  <si>
    <t>9026633344x</t>
  </si>
  <si>
    <t>michael@@mail.com</t>
  </si>
  <si>
    <t>1,311</t>
  </si>
  <si>
    <t xml:space="preserve"> 127 </t>
  </si>
  <si>
    <t>9822113157</t>
  </si>
  <si>
    <t>david@@mail.com</t>
  </si>
  <si>
    <t>$4303</t>
  </si>
  <si>
    <t>chennai</t>
  </si>
  <si>
    <t xml:space="preserve"> 128 </t>
  </si>
  <si>
    <t>15-03-26</t>
  </si>
  <si>
    <t>abc9926148</t>
  </si>
  <si>
    <t>4510</t>
  </si>
  <si>
    <t xml:space="preserve"> 129 </t>
  </si>
  <si>
    <t>9840168459x</t>
  </si>
  <si>
    <t>$1605</t>
  </si>
  <si>
    <t xml:space="preserve"> 130 </t>
  </si>
  <si>
    <t>977876612</t>
  </si>
  <si>
    <t>janedoe@gmail.com</t>
  </si>
  <si>
    <t>4456rs</t>
  </si>
  <si>
    <t xml:space="preserve"> 131 </t>
  </si>
  <si>
    <t>abc9006350</t>
  </si>
  <si>
    <t>chris@gmail.com</t>
  </si>
  <si>
    <t>3,139</t>
  </si>
  <si>
    <t xml:space="preserve"> 132 </t>
  </si>
  <si>
    <t>93574 46896</t>
  </si>
  <si>
    <t>2125rs</t>
  </si>
  <si>
    <t xml:space="preserve"> 133 </t>
  </si>
  <si>
    <t>9738174111x</t>
  </si>
  <si>
    <t>johndoe@mail..com</t>
  </si>
  <si>
    <t>5,414</t>
  </si>
  <si>
    <t xml:space="preserve"> 134 </t>
  </si>
  <si>
    <t>9082092328x</t>
  </si>
  <si>
    <t>3078rs</t>
  </si>
  <si>
    <t xml:space="preserve"> 135 </t>
  </si>
  <si>
    <t>9333438882</t>
  </si>
  <si>
    <t>3180</t>
  </si>
  <si>
    <t xml:space="preserve"> 136 </t>
  </si>
  <si>
    <t>9460696530</t>
  </si>
  <si>
    <t>alex@@mail.com</t>
  </si>
  <si>
    <t>$1284</t>
  </si>
  <si>
    <t xml:space="preserve"> 137 </t>
  </si>
  <si>
    <t>9872943352</t>
  </si>
  <si>
    <t>david@mail..com</t>
  </si>
  <si>
    <t>4441</t>
  </si>
  <si>
    <t xml:space="preserve"> 138 </t>
  </si>
  <si>
    <t>9859265079</t>
  </si>
  <si>
    <t>janedoe@gmail</t>
  </si>
  <si>
    <t>3970rs</t>
  </si>
  <si>
    <t xml:space="preserve"> 139 </t>
  </si>
  <si>
    <t>9263915681x</t>
  </si>
  <si>
    <t>$3073</t>
  </si>
  <si>
    <t xml:space="preserve"> 140 </t>
  </si>
  <si>
    <t>9156822905</t>
  </si>
  <si>
    <t>annasmith@@mail.com</t>
  </si>
  <si>
    <t>4,641</t>
  </si>
  <si>
    <t xml:space="preserve"> 141 </t>
  </si>
  <si>
    <t>9891611996x</t>
  </si>
  <si>
    <t>annasmith@gmail</t>
  </si>
  <si>
    <t>5,876</t>
  </si>
  <si>
    <t xml:space="preserve"> 142 </t>
  </si>
  <si>
    <t>9012677101</t>
  </si>
  <si>
    <t>1628</t>
  </si>
  <si>
    <t xml:space="preserve"> 143 </t>
  </si>
  <si>
    <t>92252 84756</t>
  </si>
  <si>
    <t>$1698</t>
  </si>
  <si>
    <t xml:space="preserve"> 144 </t>
  </si>
  <si>
    <t>abc9869353</t>
  </si>
  <si>
    <t>$1112</t>
  </si>
  <si>
    <t xml:space="preserve"> 145 </t>
  </si>
  <si>
    <t>abc9805601</t>
  </si>
  <si>
    <t>johndoe@gmail.com</t>
  </si>
  <si>
    <t>3852rs</t>
  </si>
  <si>
    <t xml:space="preserve"> 146 </t>
  </si>
  <si>
    <t>abc9109926</t>
  </si>
  <si>
    <t>1207rs</t>
  </si>
  <si>
    <t xml:space="preserve"> 147 </t>
  </si>
  <si>
    <t>abc9438339</t>
  </si>
  <si>
    <t>$4880</t>
  </si>
  <si>
    <t xml:space="preserve"> 148 </t>
  </si>
  <si>
    <t>9524842042x</t>
  </si>
  <si>
    <t>1528</t>
  </si>
  <si>
    <t xml:space="preserve"> 149 </t>
  </si>
  <si>
    <t>903145191</t>
  </si>
  <si>
    <t>5,787</t>
  </si>
  <si>
    <t xml:space="preserve"> 150 </t>
  </si>
  <si>
    <t>9506620655x</t>
  </si>
  <si>
    <t>$3569</t>
  </si>
  <si>
    <t xml:space="preserve"> 151 </t>
  </si>
  <si>
    <t>abc9386610</t>
  </si>
  <si>
    <t>johndoe@gmail</t>
  </si>
  <si>
    <t>3625</t>
  </si>
  <si>
    <t xml:space="preserve"> 152 </t>
  </si>
  <si>
    <t>9890682062x</t>
  </si>
  <si>
    <t>3,493</t>
  </si>
  <si>
    <t xml:space="preserve"> 153 </t>
  </si>
  <si>
    <t>9389815662x</t>
  </si>
  <si>
    <t>4040rs</t>
  </si>
  <si>
    <t xml:space="preserve"> 154 </t>
  </si>
  <si>
    <t>9267138230</t>
  </si>
  <si>
    <t>$3859</t>
  </si>
  <si>
    <t xml:space="preserve"> 155 </t>
  </si>
  <si>
    <t>929144428</t>
  </si>
  <si>
    <t>robert@mail..com</t>
  </si>
  <si>
    <t>4469rs</t>
  </si>
  <si>
    <t xml:space="preserve"> 156 </t>
  </si>
  <si>
    <t>9154731027</t>
  </si>
  <si>
    <t>2501rs</t>
  </si>
  <si>
    <t xml:space="preserve"> 157 </t>
  </si>
  <si>
    <t>abc9153895</t>
  </si>
  <si>
    <t>3837</t>
  </si>
  <si>
    <t xml:space="preserve"> 158 </t>
  </si>
  <si>
    <t>9744320428x</t>
  </si>
  <si>
    <t>sarahlee@@mail.com</t>
  </si>
  <si>
    <t>3912</t>
  </si>
  <si>
    <t xml:space="preserve"> 159 </t>
  </si>
  <si>
    <t>9153330970x</t>
  </si>
  <si>
    <t>3306rs</t>
  </si>
  <si>
    <t xml:space="preserve"> 160 </t>
  </si>
  <si>
    <t>95323 51903</t>
  </si>
  <si>
    <t>alex@gmail</t>
  </si>
  <si>
    <t>$4193</t>
  </si>
  <si>
    <t xml:space="preserve"> 161 </t>
  </si>
  <si>
    <t>abc9105888</t>
  </si>
  <si>
    <t>$2459</t>
  </si>
  <si>
    <t xml:space="preserve"> 162 </t>
  </si>
  <si>
    <t>9515621272</t>
  </si>
  <si>
    <t>3,148</t>
  </si>
  <si>
    <t xml:space="preserve"> 163 </t>
  </si>
  <si>
    <t>9812166804</t>
  </si>
  <si>
    <t>4108rs</t>
  </si>
  <si>
    <t xml:space="preserve"> 164 </t>
  </si>
  <si>
    <t>96411 24760</t>
  </si>
  <si>
    <t>₹4939</t>
  </si>
  <si>
    <t xml:space="preserve"> 165 </t>
  </si>
  <si>
    <t>991849737</t>
  </si>
  <si>
    <t>$2240</t>
  </si>
  <si>
    <t xml:space="preserve"> 166 </t>
  </si>
  <si>
    <t>97542 13224</t>
  </si>
  <si>
    <t>4033</t>
  </si>
  <si>
    <t xml:space="preserve"> 167 </t>
  </si>
  <si>
    <t>9839108465</t>
  </si>
  <si>
    <t>alex@gmail.com</t>
  </si>
  <si>
    <t>$4553</t>
  </si>
  <si>
    <t xml:space="preserve"> 168 </t>
  </si>
  <si>
    <t>985902257</t>
  </si>
  <si>
    <t>₹3490</t>
  </si>
  <si>
    <t xml:space="preserve"> 169 </t>
  </si>
  <si>
    <t>923355790</t>
  </si>
  <si>
    <t>₹2519</t>
  </si>
  <si>
    <t xml:space="preserve"> 170 </t>
  </si>
  <si>
    <t>abc9070710</t>
  </si>
  <si>
    <t>3,604</t>
  </si>
  <si>
    <t xml:space="preserve"> 171 </t>
  </si>
  <si>
    <t>92787 52212</t>
  </si>
  <si>
    <t>4,843</t>
  </si>
  <si>
    <t xml:space="preserve"> 172 </t>
  </si>
  <si>
    <t>9394997205</t>
  </si>
  <si>
    <t>4338rs</t>
  </si>
  <si>
    <t xml:space="preserve"> 173 </t>
  </si>
  <si>
    <t>9085162705x</t>
  </si>
  <si>
    <t>emily@@mail.com</t>
  </si>
  <si>
    <t>1068</t>
  </si>
  <si>
    <t xml:space="preserve"> 174 </t>
  </si>
  <si>
    <t>928555047</t>
  </si>
  <si>
    <t>3191</t>
  </si>
  <si>
    <t xml:space="preserve"> 175 </t>
  </si>
  <si>
    <t>997871767</t>
  </si>
  <si>
    <t>4110rs</t>
  </si>
  <si>
    <t xml:space="preserve"> 176 </t>
  </si>
  <si>
    <t>970581993</t>
  </si>
  <si>
    <t>$3853</t>
  </si>
  <si>
    <t xml:space="preserve"> 177 </t>
  </si>
  <si>
    <t>92194 28529</t>
  </si>
  <si>
    <t>2,190</t>
  </si>
  <si>
    <t xml:space="preserve"> 178 </t>
  </si>
  <si>
    <t>9013776718</t>
  </si>
  <si>
    <t>$2099</t>
  </si>
  <si>
    <t xml:space="preserve"> 179 </t>
  </si>
  <si>
    <t>903189690</t>
  </si>
  <si>
    <t>2129</t>
  </si>
  <si>
    <t xml:space="preserve"> 180 </t>
  </si>
  <si>
    <t>91274 19556</t>
  </si>
  <si>
    <t>1650rs</t>
  </si>
  <si>
    <t xml:space="preserve"> 181 </t>
  </si>
  <si>
    <t>92962 13171</t>
  </si>
  <si>
    <t>5,634</t>
  </si>
  <si>
    <t xml:space="preserve"> 182 </t>
  </si>
  <si>
    <t>93433 20973</t>
  </si>
  <si>
    <t>1863</t>
  </si>
  <si>
    <t xml:space="preserve"> 183 </t>
  </si>
  <si>
    <t>90969 13093</t>
  </si>
  <si>
    <t>3216rs</t>
  </si>
  <si>
    <t xml:space="preserve"> 184 </t>
  </si>
  <si>
    <t>9373790314</t>
  </si>
  <si>
    <t>3960</t>
  </si>
  <si>
    <t xml:space="preserve"> 185 </t>
  </si>
  <si>
    <t>918824249</t>
  </si>
  <si>
    <t>1,939</t>
  </si>
  <si>
    <t xml:space="preserve"> 186 </t>
  </si>
  <si>
    <t>abc9561515</t>
  </si>
  <si>
    <t>$3370</t>
  </si>
  <si>
    <t xml:space="preserve"> 187 </t>
  </si>
  <si>
    <t>98015 79006</t>
  </si>
  <si>
    <t>4399</t>
  </si>
  <si>
    <t xml:space="preserve"> 188 </t>
  </si>
  <si>
    <t>9453963843</t>
  </si>
  <si>
    <t>₹4600</t>
  </si>
  <si>
    <t xml:space="preserve"> 189 </t>
  </si>
  <si>
    <t>929086689</t>
  </si>
  <si>
    <t>3724rs</t>
  </si>
  <si>
    <t xml:space="preserve"> 190 </t>
  </si>
  <si>
    <t>9494960671x</t>
  </si>
  <si>
    <t>$4964</t>
  </si>
  <si>
    <t xml:space="preserve"> 191 </t>
  </si>
  <si>
    <t>abc9194067</t>
  </si>
  <si>
    <t>1860</t>
  </si>
  <si>
    <t xml:space="preserve"> 192 </t>
  </si>
  <si>
    <t>9168078316x</t>
  </si>
  <si>
    <t>4297</t>
  </si>
  <si>
    <t xml:space="preserve"> 193 </t>
  </si>
  <si>
    <t>9941979625</t>
  </si>
  <si>
    <t>3,333</t>
  </si>
  <si>
    <t xml:space="preserve"> 194 </t>
  </si>
  <si>
    <t>9210958992x</t>
  </si>
  <si>
    <t>$2933</t>
  </si>
  <si>
    <t xml:space="preserve"> 195 </t>
  </si>
  <si>
    <t>90661 63301</t>
  </si>
  <si>
    <t>4870</t>
  </si>
  <si>
    <t xml:space="preserve"> 196 </t>
  </si>
  <si>
    <t>982522784</t>
  </si>
  <si>
    <t>₹3051</t>
  </si>
  <si>
    <t xml:space="preserve"> 197 </t>
  </si>
  <si>
    <t>998012810</t>
  </si>
  <si>
    <t>robert@@mail.com</t>
  </si>
  <si>
    <t>₹1018</t>
  </si>
  <si>
    <t xml:space="preserve"> 198 </t>
  </si>
  <si>
    <t>9491692372x</t>
  </si>
  <si>
    <t>david@gmail</t>
  </si>
  <si>
    <t>₹4753</t>
  </si>
  <si>
    <t xml:space="preserve"> 199 </t>
  </si>
  <si>
    <t>abc9796360</t>
  </si>
  <si>
    <t>5,339</t>
  </si>
  <si>
    <t xml:space="preserve"> 200 </t>
  </si>
  <si>
    <t>95475 91253</t>
  </si>
  <si>
    <t>annasmith@mail..com</t>
  </si>
  <si>
    <t>1,252</t>
  </si>
  <si>
    <t>Chris</t>
  </si>
  <si>
    <t>Kochi</t>
  </si>
  <si>
    <t>Michael</t>
  </si>
  <si>
    <t>michael@mail.com</t>
  </si>
  <si>
    <t>John Doe</t>
  </si>
  <si>
    <t>johndoe@mail.com</t>
  </si>
  <si>
    <t>Emily</t>
  </si>
  <si>
    <t>sarahlee@mail.com</t>
  </si>
  <si>
    <t>Mumbai</t>
  </si>
  <si>
    <t>chris@mail.com</t>
  </si>
  <si>
    <t>Pune</t>
  </si>
  <si>
    <t>michael@gmail.com</t>
  </si>
  <si>
    <t>Maleale</t>
  </si>
  <si>
    <t>alex@mail.com</t>
  </si>
  <si>
    <t>emily@mail.com</t>
  </si>
  <si>
    <t>Jane Doe</t>
  </si>
  <si>
    <t>janedoe@mail.com</t>
  </si>
  <si>
    <t>Hyderabad</t>
  </si>
  <si>
    <t>Robert</t>
  </si>
  <si>
    <t>David</t>
  </si>
  <si>
    <t>david@mail.com</t>
  </si>
  <si>
    <t>Chennai</t>
  </si>
  <si>
    <t>annasmith@mail.com</t>
  </si>
  <si>
    <t>robert@mail.com</t>
  </si>
  <si>
    <t>QUESTION</t>
  </si>
  <si>
    <t>ANSWER</t>
  </si>
  <si>
    <t>Q1</t>
  </si>
  <si>
    <t>1. Calculate the total sales amount generated from all orders.</t>
  </si>
  <si>
    <t>2. Calculate the total sales amount generated from orders placed in Delhi.</t>
  </si>
  <si>
    <t>3. Calculate the total sales amount generated from Laptop sales.</t>
  </si>
  <si>
    <t>4. Create a new column that categorizes each order as “Large Order” if the amount is ₹4,000 or more; otherwise, “Small Order”.</t>
  </si>
  <si>
    <t>5. Create a new column that displays “Revenue Realized” for completed orders and “Awaiting Completion” for all other orders.</t>
  </si>
  <si>
    <t>6. Determine whether each order was placed on a Weekday or a Weekend.</t>
  </si>
  <si>
    <t>7. Calculate the total sales amount for orders placed on 10-Mar-2026.</t>
  </si>
  <si>
    <t>8. Extract the month from the order date and calculate the total sales for March 2026.</t>
  </si>
  <si>
    <t>9. Assuming today’s date is 20-Mar-2026, create a new column that labels orders placed within the last 7…</t>
  </si>
  <si>
    <t>Q2</t>
  </si>
  <si>
    <t>Q3</t>
  </si>
  <si>
    <t>Q4</t>
  </si>
  <si>
    <t>Q5</t>
  </si>
  <si>
    <t>10. Calculate the total sales amount for each city and identify the cities with total sales exceeding ₹20,000.</t>
  </si>
  <si>
    <t>Q6</t>
  </si>
  <si>
    <t>Q7</t>
  </si>
  <si>
    <t>TODAYS DATE</t>
  </si>
  <si>
    <t>Q9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</si>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</sst>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64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6">
      <queryTableField id="1" name="ID" tableColumnId="1"/>
      <queryTableField id="2" name="Name" tableColumnId="2"/>
      <queryTableField id="3" name="Date" tableColumnId="3"/>
      <queryTableField id="15" dataBound="0" tableColumnId="15"/>
      <queryTableField id="16" dataBound="0" tableColumnId="16"/>
      <queryTableField id="14" dataBound="0" tableColumnId="14"/>
      <queryTableField id="13" dataBound="0" tableColumnId="13"/>
      <queryTableField id="4" name="Phone" tableColumnId="4"/>
      <queryTableField id="5" name="Email" tableColumnId="5"/>
      <queryTableField id="6" name="Amount" tableColumnId="6"/>
      <queryTableField id="11" dataBound="0" tableColumnId="11"/>
      <queryTableField id="12" dataBound="0" tableColumnId="12"/>
      <queryTableField id="7" name="City" tableColumnId="7"/>
      <queryTableField id="8" name="Gender" tableColumnId="8"/>
      <queryTableField id="9" name="Product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1" displayName="Table1_1" ref="A1:P101" tableType="queryTable" totalsRowShown="0">
  <autoFilter ref="A1:P101"/>
  <tableColumns count="16">
    <tableColumn id="1" uniqueName="1" name="ID" queryTableFieldId="1"/>
    <tableColumn id="2" uniqueName="2" name="Name" queryTableFieldId="2" dataDxfId="13"/>
    <tableColumn id="3" uniqueName="3" name="Date" queryTableFieldId="3" dataDxfId="12"/>
    <tableColumn id="15" uniqueName="15" name="TODAYS DATE" queryTableFieldId="15" dataDxfId="11"/>
    <tableColumn id="16" uniqueName="16" name="Q9" queryTableFieldId="16" dataDxfId="10">
      <calculatedColumnFormula>IF(Table1_1[[#This Row],[TODAYS DATE]]-Table1_1[[#This Row],[Date]]&gt;7,"OLD ORDER","RECENT ORDER")</calculatedColumnFormula>
    </tableColumn>
    <tableColumn id="14" uniqueName="14" name="Q7" queryTableFieldId="14" dataDxfId="9">
      <calculatedColumnFormula>SUMIF(Table1_1[Date],C4,Table1_1[Amount])</calculatedColumnFormula>
    </tableColumn>
    <tableColumn id="13" uniqueName="13" name="Q6" queryTableFieldId="13" dataDxfId="8">
      <calculatedColumnFormula>IF(WEEKDAY(Table1_1[[#This Row],[Date]])&gt;5,"WEEKEND","WEEKDAY")</calculatedColumnFormula>
    </tableColumn>
    <tableColumn id="4" uniqueName="4" name="Phone" queryTableFieldId="4"/>
    <tableColumn id="5" uniqueName="5" name="Email" queryTableFieldId="5" dataDxfId="7"/>
    <tableColumn id="6" uniqueName="6" name="Amount" queryTableFieldId="6"/>
    <tableColumn id="11" uniqueName="11" name="Q4" queryTableFieldId="11" dataDxfId="6">
      <calculatedColumnFormula>IF(Table1_1[[#This Row],[Amount]]&gt;=4000,"LARGE ORDER","SMALL ORDER")</calculatedColumnFormula>
    </tableColumn>
    <tableColumn id="12" uniqueName="12" name="Q5" queryTableFieldId="12" dataDxfId="5">
      <calculatedColumnFormula>IF(Table1_1[[#This Row],[Status]]="COMPLETED","REVENUE REALISED","AWAITING COMPLETION")</calculatedColumnFormula>
    </tableColumn>
    <tableColumn id="7" uniqueName="7" name="City" queryTableFieldId="7" dataDxfId="4"/>
    <tableColumn id="8" uniqueName="8" name="Gender" queryTableFieldId="8" dataDxfId="3"/>
    <tableColumn id="9" uniqueName="9" name="Product" queryTableFieldId="9" dataDxfId="2"/>
    <tableColumn id="10" uniqueName="10" name="Status" queryTableFieldId="10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R3:S13" totalsRowShown="0">
  <autoFilter ref="R3:S13"/>
  <tableColumns count="2">
    <tableColumn id="1" name="QUESTION"/>
    <tableColumn id="2" name="ANSWER" dataDxfId="0">
      <calculatedColumnFormula>SUM(Table1_1[Amount])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J101" totalsRowShown="0">
  <autoFilter ref="A1:J101"/>
  <tableColumns count="10">
    <tableColumn id="1" name="ID"/>
    <tableColumn id="2" name="Name"/>
    <tableColumn id="3" name="Date"/>
    <tableColumn id="4" name="Phone"/>
    <tableColumn id="5" name="Email"/>
    <tableColumn id="6" name="Amount"/>
    <tableColumn id="7" name="City"/>
    <tableColumn id="8" name="Gender"/>
    <tableColumn id="9" name="Product"/>
    <tableColumn id="10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tabSelected="1" topLeftCell="I1" workbookViewId="0">
      <selection activeCell="R20" sqref="R20"/>
    </sheetView>
  </sheetViews>
  <sheetFormatPr defaultRowHeight="14.4" x14ac:dyDescent="0.3"/>
  <cols>
    <col min="1" max="1" width="5.109375" bestFit="1" customWidth="1"/>
    <col min="2" max="3" width="13.33203125" customWidth="1"/>
    <col min="4" max="4" width="15.5546875" customWidth="1"/>
    <col min="5" max="5" width="23.88671875" customWidth="1"/>
    <col min="6" max="6" width="11.6640625" customWidth="1"/>
    <col min="7" max="7" width="16.109375" customWidth="1"/>
    <col min="8" max="8" width="24" customWidth="1"/>
    <col min="9" max="9" width="13.6640625" customWidth="1"/>
    <col min="10" max="10" width="10.88671875" bestFit="1" customWidth="1"/>
    <col min="12" max="12" width="12.44140625" customWidth="1"/>
    <col min="13" max="13" width="11" customWidth="1"/>
    <col min="18" max="18" width="15.6640625" customWidth="1"/>
    <col min="19" max="19" width="12.33203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440</v>
      </c>
      <c r="E1" t="s">
        <v>441</v>
      </c>
      <c r="F1" t="s">
        <v>439</v>
      </c>
      <c r="G1" t="s">
        <v>438</v>
      </c>
      <c r="H1" t="s">
        <v>3</v>
      </c>
      <c r="I1" t="s">
        <v>4</v>
      </c>
      <c r="J1" t="s">
        <v>5</v>
      </c>
      <c r="K1" t="s">
        <v>435</v>
      </c>
      <c r="L1" t="s">
        <v>436</v>
      </c>
      <c r="M1" t="s">
        <v>6</v>
      </c>
      <c r="N1" t="s">
        <v>7</v>
      </c>
      <c r="O1" t="s">
        <v>8</v>
      </c>
      <c r="P1" t="s">
        <v>9</v>
      </c>
    </row>
    <row r="2" spans="1:19" x14ac:dyDescent="0.3">
      <c r="A2">
        <v>101</v>
      </c>
      <c r="B2" t="s">
        <v>397</v>
      </c>
      <c r="C2" s="1">
        <v>46090</v>
      </c>
      <c r="D2" s="1">
        <v>46101</v>
      </c>
      <c r="E2" s="1" t="str">
        <f>IF(Table1_1[[#This Row],[TODAYS DATE]]-Table1_1[[#This Row],[Date]]&gt;7,"OLD ORDER","RECENT ORDER")</f>
        <v>OLD ORDER</v>
      </c>
      <c r="F2" s="2">
        <f>SUMIF(Table1_1[Date],C4,Table1_1[Amount])</f>
        <v>49303</v>
      </c>
      <c r="G2" s="1" t="str">
        <f>IF(WEEKDAY(Table1_1[[#This Row],[Date]])&gt;5,"WEEKEND","WEEKDAY")</f>
        <v>WEEKDAY</v>
      </c>
      <c r="H2">
        <v>9897989899</v>
      </c>
      <c r="I2" t="s">
        <v>172</v>
      </c>
      <c r="J2">
        <v>3232</v>
      </c>
      <c r="K2" t="str">
        <f>IF(Table1_1[[#This Row],[Amount]]&gt;=4000,"LARGE ORDER","SMALL ORDER")</f>
        <v>SMALL ORDER</v>
      </c>
      <c r="L2" t="str">
        <f>IF(Table1_1[[#This Row],[Status]]="COMPLETED","REVENUE REALISED","AWAITING COMPLETION")</f>
        <v>REVENUE REALISED</v>
      </c>
      <c r="M2" t="s">
        <v>398</v>
      </c>
      <c r="N2" t="s">
        <v>73</v>
      </c>
      <c r="O2" t="s">
        <v>18</v>
      </c>
      <c r="P2" t="s">
        <v>61</v>
      </c>
    </row>
    <row r="3" spans="1:19" x14ac:dyDescent="0.3">
      <c r="A3">
        <v>102</v>
      </c>
      <c r="B3" t="s">
        <v>21</v>
      </c>
      <c r="C3" s="1">
        <v>46088</v>
      </c>
      <c r="D3" s="1">
        <v>46101</v>
      </c>
      <c r="E3" s="1" t="str">
        <f>IF(Table1_1[[#This Row],[TODAYS DATE]]-Table1_1[[#This Row],[Date]]&gt;7,"OLD ORDER","RECENT ORDER")</f>
        <v>OLD ORDER</v>
      </c>
      <c r="F3" s="2">
        <f>SUMIF(Table1_1[Date],C5,Table1_1[Amount])</f>
        <v>18785</v>
      </c>
      <c r="G3" s="1" t="str">
        <f>IF(WEEKDAY(Table1_1[[#This Row],[Date]])&gt;5,"WEEKEND","WEEKDAY")</f>
        <v>WEEKEND</v>
      </c>
      <c r="H3">
        <v>9558386023</v>
      </c>
      <c r="I3" t="s">
        <v>78</v>
      </c>
      <c r="J3">
        <v>1241</v>
      </c>
      <c r="K3" t="str">
        <f>IF(Table1_1[[#This Row],[Amount]]&gt;=4000,"LARGE ORDER","SMALL ORDER")</f>
        <v>SMALL ORDER</v>
      </c>
      <c r="L3" t="str">
        <f>IF(Table1_1[[#This Row],[Status]]="COMPLETED","REVENUE REALISED","AWAITING COMPLETION")</f>
        <v>REVENUE REALISED</v>
      </c>
      <c r="M3" t="s">
        <v>26</v>
      </c>
      <c r="N3" t="s">
        <v>73</v>
      </c>
      <c r="O3" t="s">
        <v>3</v>
      </c>
      <c r="P3" t="s">
        <v>61</v>
      </c>
      <c r="R3" t="s">
        <v>421</v>
      </c>
      <c r="S3" t="s">
        <v>422</v>
      </c>
    </row>
    <row r="4" spans="1:19" x14ac:dyDescent="0.3">
      <c r="A4">
        <v>103</v>
      </c>
      <c r="B4" t="s">
        <v>399</v>
      </c>
      <c r="C4" s="1">
        <v>46091</v>
      </c>
      <c r="D4" s="1">
        <v>46101</v>
      </c>
      <c r="E4" s="1" t="str">
        <f>IF(Table1_1[[#This Row],[TODAYS DATE]]-Table1_1[[#This Row],[Date]]&gt;7,"OLD ORDER","RECENT ORDER")</f>
        <v>OLD ORDER</v>
      </c>
      <c r="F4" s="2">
        <f>SUMIF(Table1_1[Date],C6,Table1_1[Amount])</f>
        <v>43430</v>
      </c>
      <c r="G4" s="1" t="str">
        <f>IF(WEEKDAY(Table1_1[[#This Row],[Date]])&gt;5,"WEEKEND","WEEKDAY")</f>
        <v>WEEKDAY</v>
      </c>
      <c r="H4">
        <v>9327819786</v>
      </c>
      <c r="I4" t="s">
        <v>400</v>
      </c>
      <c r="J4">
        <v>2877</v>
      </c>
      <c r="K4" t="str">
        <f>IF(Table1_1[[#This Row],[Amount]]&gt;=4000,"LARGE ORDER","SMALL ORDER")</f>
        <v>SMALL ORDER</v>
      </c>
      <c r="L4" t="str">
        <f>IF(Table1_1[[#This Row],[Status]]="COMPLETED","REVENUE REALISED","AWAITING COMPLETION")</f>
        <v>AWAITING COMPLETION</v>
      </c>
      <c r="M4" t="s">
        <v>35</v>
      </c>
      <c r="N4" t="s">
        <v>73</v>
      </c>
      <c r="O4" t="s">
        <v>98</v>
      </c>
      <c r="P4" t="s">
        <v>37</v>
      </c>
      <c r="R4" t="s">
        <v>423</v>
      </c>
      <c r="S4">
        <f>SUM(Table1_1[Amount])</f>
        <v>346622</v>
      </c>
    </row>
    <row r="5" spans="1:19" x14ac:dyDescent="0.3">
      <c r="A5">
        <v>104</v>
      </c>
      <c r="B5" t="s">
        <v>401</v>
      </c>
      <c r="C5" s="1">
        <v>46093</v>
      </c>
      <c r="D5" s="1">
        <v>46101</v>
      </c>
      <c r="E5" s="1" t="str">
        <f>IF(Table1_1[[#This Row],[TODAYS DATE]]-Table1_1[[#This Row],[Date]]&gt;7,"OLD ORDER","RECENT ORDER")</f>
        <v>OLD ORDER</v>
      </c>
      <c r="F5" s="2">
        <f>SUMIF(Table1_1[Date],C7,Table1_1[Amount])</f>
        <v>26131</v>
      </c>
      <c r="G5" s="1" t="str">
        <f>IF(WEEKDAY(Table1_1[[#This Row],[Date]])&gt;5,"WEEKEND","WEEKDAY")</f>
        <v>WEEKDAY</v>
      </c>
      <c r="H5">
        <v>982899679</v>
      </c>
      <c r="I5" t="s">
        <v>402</v>
      </c>
      <c r="J5">
        <v>4578</v>
      </c>
      <c r="K5" t="str">
        <f>IF(Table1_1[[#This Row],[Amount]]&gt;=4000,"LARGE ORDER","SMALL ORDER")</f>
        <v>LARGE ORDER</v>
      </c>
      <c r="L5" t="str">
        <f>IF(Table1_1[[#This Row],[Status]]="COMPLETED","REVENUE REALISED","AWAITING COMPLETION")</f>
        <v>AWAITING COMPLETION</v>
      </c>
      <c r="M5" t="s">
        <v>35</v>
      </c>
      <c r="N5" t="s">
        <v>73</v>
      </c>
      <c r="O5" t="s">
        <v>74</v>
      </c>
      <c r="P5" t="s">
        <v>37</v>
      </c>
      <c r="R5" t="s">
        <v>433</v>
      </c>
      <c r="S5">
        <f>SUMIF(Table1_1[City],M87,Table1_1[Amount])</f>
        <v>51059</v>
      </c>
    </row>
    <row r="6" spans="1:19" x14ac:dyDescent="0.3">
      <c r="A6">
        <v>105</v>
      </c>
      <c r="B6" t="s">
        <v>403</v>
      </c>
      <c r="C6" s="1">
        <v>46095</v>
      </c>
      <c r="D6" s="1">
        <v>46101</v>
      </c>
      <c r="E6" s="1" t="str">
        <f>IF(Table1_1[[#This Row],[TODAYS DATE]]-Table1_1[[#This Row],[Date]]&gt;7,"OLD ORDER","RECENT ORDER")</f>
        <v>RECENT ORDER</v>
      </c>
      <c r="F6" s="2">
        <f>SUMIF(Table1_1[Date],C8,Table1_1[Amount])</f>
        <v>33875</v>
      </c>
      <c r="G6" s="1" t="str">
        <f>IF(WEEKDAY(Table1_1[[#This Row],[Date]])&gt;5,"WEEKEND","WEEKDAY")</f>
        <v>WEEKEND</v>
      </c>
      <c r="H6">
        <v>9860772485</v>
      </c>
      <c r="I6" t="s">
        <v>50</v>
      </c>
      <c r="J6">
        <v>3755</v>
      </c>
      <c r="K6" t="str">
        <f>IF(Table1_1[[#This Row],[Amount]]&gt;=4000,"LARGE ORDER","SMALL ORDER")</f>
        <v>SMALL ORDER</v>
      </c>
      <c r="L6" t="str">
        <f>IF(Table1_1[[#This Row],[Status]]="COMPLETED","REVENUE REALISED","AWAITING COMPLETION")</f>
        <v>AWAITING COMPLETION</v>
      </c>
      <c r="M6" t="s">
        <v>52</v>
      </c>
      <c r="N6" t="s">
        <v>53</v>
      </c>
      <c r="O6" t="s">
        <v>18</v>
      </c>
      <c r="P6" t="s">
        <v>37</v>
      </c>
      <c r="R6" t="s">
        <v>434</v>
      </c>
      <c r="S6">
        <f>SUMIF(Table1_1[Product],Table1!O92,Table1_1[Amount])</f>
        <v>84056</v>
      </c>
    </row>
    <row r="7" spans="1:19" x14ac:dyDescent="0.3">
      <c r="A7">
        <v>106</v>
      </c>
      <c r="B7" t="s">
        <v>21</v>
      </c>
      <c r="C7" s="1">
        <v>46089</v>
      </c>
      <c r="D7" s="1">
        <v>46101</v>
      </c>
      <c r="E7" s="1" t="str">
        <f>IF(Table1_1[[#This Row],[TODAYS DATE]]-Table1_1[[#This Row],[Date]]&gt;7,"OLD ORDER","RECENT ORDER")</f>
        <v>OLD ORDER</v>
      </c>
      <c r="F7" s="2">
        <f>SUMIF(Table1_1[Date],C9,Table1_1[Amount])</f>
        <v>49303</v>
      </c>
      <c r="G7" s="1" t="str">
        <f>IF(WEEKDAY(Table1_1[[#This Row],[Date]])&gt;5,"WEEKEND","WEEKDAY")</f>
        <v>WEEKDAY</v>
      </c>
      <c r="H7">
        <v>9712224478</v>
      </c>
      <c r="I7" t="s">
        <v>404</v>
      </c>
      <c r="J7">
        <v>4190</v>
      </c>
      <c r="K7" t="str">
        <f>IF(Table1_1[[#This Row],[Amount]]&gt;=4000,"LARGE ORDER","SMALL ORDER")</f>
        <v>LARGE ORDER</v>
      </c>
      <c r="L7" t="str">
        <f>IF(Table1_1[[#This Row],[Status]]="COMPLETED","REVENUE REALISED","AWAITING COMPLETION")</f>
        <v>REVENUE REALISED</v>
      </c>
      <c r="M7" t="s">
        <v>405</v>
      </c>
      <c r="N7" t="s">
        <v>53</v>
      </c>
      <c r="O7" t="s">
        <v>98</v>
      </c>
      <c r="P7" t="s">
        <v>61</v>
      </c>
    </row>
    <row r="8" spans="1:19" x14ac:dyDescent="0.3">
      <c r="A8">
        <v>107</v>
      </c>
      <c r="B8" t="s">
        <v>397</v>
      </c>
      <c r="C8" s="1">
        <v>46088</v>
      </c>
      <c r="D8" s="1">
        <v>46101</v>
      </c>
      <c r="E8" s="1" t="str">
        <f>IF(Table1_1[[#This Row],[TODAYS DATE]]-Table1_1[[#This Row],[Date]]&gt;7,"OLD ORDER","RECENT ORDER")</f>
        <v>OLD ORDER</v>
      </c>
      <c r="F8" s="2">
        <f>SUMIF(Table1_1[Date],C10,Table1_1[Amount])</f>
        <v>49955</v>
      </c>
      <c r="G8" s="1" t="str">
        <f>IF(WEEKDAY(Table1_1[[#This Row],[Date]])&gt;5,"WEEKEND","WEEKDAY")</f>
        <v>WEEKEND</v>
      </c>
      <c r="H8">
        <v>9875184380</v>
      </c>
      <c r="I8" t="s">
        <v>406</v>
      </c>
      <c r="J8">
        <v>2058</v>
      </c>
      <c r="K8" t="str">
        <f>IF(Table1_1[[#This Row],[Amount]]&gt;=4000,"LARGE ORDER","SMALL ORDER")</f>
        <v>SMALL ORDER</v>
      </c>
      <c r="L8" t="str">
        <f>IF(Table1_1[[#This Row],[Status]]="COMPLETED","REVENUE REALISED","AWAITING COMPLETION")</f>
        <v>REVENUE REALISED</v>
      </c>
      <c r="M8" t="s">
        <v>407</v>
      </c>
      <c r="N8" t="s">
        <v>73</v>
      </c>
      <c r="O8" t="s">
        <v>3</v>
      </c>
      <c r="P8" t="s">
        <v>61</v>
      </c>
      <c r="R8" t="s">
        <v>398</v>
      </c>
      <c r="S8">
        <f>SUMIF(Table1_1[City],M2,Table1_1[Amount])</f>
        <v>21089</v>
      </c>
    </row>
    <row r="9" spans="1:19" x14ac:dyDescent="0.3">
      <c r="A9">
        <v>108</v>
      </c>
      <c r="B9" t="s">
        <v>399</v>
      </c>
      <c r="C9" s="1">
        <v>46091</v>
      </c>
      <c r="D9" s="1">
        <v>46101</v>
      </c>
      <c r="E9" s="1" t="str">
        <f>IF(Table1_1[[#This Row],[TODAYS DATE]]-Table1_1[[#This Row],[Date]]&gt;7,"OLD ORDER","RECENT ORDER")</f>
        <v>OLD ORDER</v>
      </c>
      <c r="F9" s="2">
        <f>SUMIF(Table1_1[Date],C11,Table1_1[Amount])</f>
        <v>49303</v>
      </c>
      <c r="G9" s="1" t="str">
        <f>IF(WEEKDAY(Table1_1[[#This Row],[Date]])&gt;5,"WEEKEND","WEEKDAY")</f>
        <v>WEEKDAY</v>
      </c>
      <c r="H9">
        <v>9428520226</v>
      </c>
      <c r="I9" t="s">
        <v>408</v>
      </c>
      <c r="J9">
        <v>4970</v>
      </c>
      <c r="K9" t="str">
        <f>IF(Table1_1[[#This Row],[Amount]]&gt;=4000,"LARGE ORDER","SMALL ORDER")</f>
        <v>LARGE ORDER</v>
      </c>
      <c r="L9" t="str">
        <f>IF(Table1_1[[#This Row],[Status]]="COMPLETED","REVENUE REALISED","AWAITING COMPLETION")</f>
        <v>AWAITING COMPLETION</v>
      </c>
      <c r="M9" t="s">
        <v>35</v>
      </c>
      <c r="N9" t="s">
        <v>409</v>
      </c>
      <c r="O9" t="s">
        <v>74</v>
      </c>
      <c r="P9" t="s">
        <v>37</v>
      </c>
      <c r="R9" t="s">
        <v>442</v>
      </c>
      <c r="S9">
        <f>SUMIF(Table1_1[City],M3,Table1_1[Amount])</f>
        <v>28757</v>
      </c>
    </row>
    <row r="10" spans="1:19" x14ac:dyDescent="0.3">
      <c r="A10">
        <v>109</v>
      </c>
      <c r="B10" t="s">
        <v>21</v>
      </c>
      <c r="C10" s="1">
        <v>46092</v>
      </c>
      <c r="D10" s="1">
        <v>46101</v>
      </c>
      <c r="E10" s="1" t="str">
        <f>IF(Table1_1[[#This Row],[TODAYS DATE]]-Table1_1[[#This Row],[Date]]&gt;7,"OLD ORDER","RECENT ORDER")</f>
        <v>OLD ORDER</v>
      </c>
      <c r="F10" s="2">
        <f>SUMIF(Table1_1[Date],C12,Table1_1[Amount])</f>
        <v>26131</v>
      </c>
      <c r="G10" s="1" t="str">
        <f>IF(WEEKDAY(Table1_1[[#This Row],[Date]])&gt;5,"WEEKEND","WEEKDAY")</f>
        <v>WEEKDAY</v>
      </c>
      <c r="H10">
        <v>9321418377</v>
      </c>
      <c r="I10" t="s">
        <v>78</v>
      </c>
      <c r="J10">
        <v>4108</v>
      </c>
      <c r="K10" t="str">
        <f>IF(Table1_1[[#This Row],[Amount]]&gt;=4000,"LARGE ORDER","SMALL ORDER")</f>
        <v>LARGE ORDER</v>
      </c>
      <c r="L10" t="str">
        <f>IF(Table1_1[[#This Row],[Status]]="COMPLETED","REVENUE REALISED","AWAITING COMPLETION")</f>
        <v>REVENUE REALISED</v>
      </c>
      <c r="M10" t="s">
        <v>407</v>
      </c>
      <c r="N10" t="s">
        <v>53</v>
      </c>
      <c r="O10" t="s">
        <v>74</v>
      </c>
      <c r="P10" t="s">
        <v>61</v>
      </c>
      <c r="R10" t="s">
        <v>158</v>
      </c>
      <c r="S10">
        <f>SUMIF(Table1_1[City],M28,Table1_1[Amount])</f>
        <v>31309</v>
      </c>
    </row>
    <row r="11" spans="1:19" x14ac:dyDescent="0.3">
      <c r="A11">
        <v>110</v>
      </c>
      <c r="B11" t="s">
        <v>82</v>
      </c>
      <c r="C11" s="1">
        <v>46091</v>
      </c>
      <c r="D11" s="1">
        <v>46101</v>
      </c>
      <c r="E11" s="1" t="str">
        <f>IF(Table1_1[[#This Row],[TODAYS DATE]]-Table1_1[[#This Row],[Date]]&gt;7,"OLD ORDER","RECENT ORDER")</f>
        <v>OLD ORDER</v>
      </c>
      <c r="F11" s="2">
        <f>SUMIF(Table1_1[Date],C13,Table1_1[Amount])</f>
        <v>37129</v>
      </c>
      <c r="G11" s="1" t="str">
        <f>IF(WEEKDAY(Table1_1[[#This Row],[Date]])&gt;5,"WEEKEND","WEEKDAY")</f>
        <v>WEEKDAY</v>
      </c>
      <c r="H11">
        <v>952573594</v>
      </c>
      <c r="I11" t="s">
        <v>410</v>
      </c>
      <c r="J11">
        <v>2697</v>
      </c>
      <c r="K11" t="str">
        <f>IF(Table1_1[[#This Row],[Amount]]&gt;=4000,"LARGE ORDER","SMALL ORDER")</f>
        <v>SMALL ORDER</v>
      </c>
      <c r="L11" t="str">
        <f>IF(Table1_1[[#This Row],[Status]]="COMPLETED","REVENUE REALISED","AWAITING COMPLETION")</f>
        <v>REVENUE REALISED</v>
      </c>
      <c r="M11" t="s">
        <v>86</v>
      </c>
      <c r="N11" t="s">
        <v>73</v>
      </c>
      <c r="O11" t="s">
        <v>3</v>
      </c>
      <c r="P11" t="s">
        <v>61</v>
      </c>
      <c r="R11" t="s">
        <v>442</v>
      </c>
      <c r="S11" t="str">
        <f>IF(S9&gt;20000,"exceeding","not exceeding")</f>
        <v>exceeding</v>
      </c>
    </row>
    <row r="12" spans="1:19" x14ac:dyDescent="0.3">
      <c r="A12">
        <v>111</v>
      </c>
      <c r="B12" t="s">
        <v>403</v>
      </c>
      <c r="C12" s="1">
        <v>46089</v>
      </c>
      <c r="D12" s="1">
        <v>46101</v>
      </c>
      <c r="E12" s="1" t="str">
        <f>IF(Table1_1[[#This Row],[TODAYS DATE]]-Table1_1[[#This Row],[Date]]&gt;7,"OLD ORDER","RECENT ORDER")</f>
        <v>OLD ORDER</v>
      </c>
      <c r="F12" s="2">
        <f>SUMIF(Table1_1[Date],C14,Table1_1[Amount])</f>
        <v>37129</v>
      </c>
      <c r="G12" s="1" t="str">
        <f>IF(WEEKDAY(Table1_1[[#This Row],[Date]])&gt;5,"WEEKEND","WEEKDAY")</f>
        <v>WEEKDAY</v>
      </c>
      <c r="H12">
        <v>9088634</v>
      </c>
      <c r="I12" t="s">
        <v>411</v>
      </c>
      <c r="J12">
        <v>2226</v>
      </c>
      <c r="K12" t="str">
        <f>IF(Table1_1[[#This Row],[Amount]]&gt;=4000,"LARGE ORDER","SMALL ORDER")</f>
        <v>SMALL ORDER</v>
      </c>
      <c r="L12" t="str">
        <f>IF(Table1_1[[#This Row],[Status]]="COMPLETED","REVENUE REALISED","AWAITING COMPLETION")</f>
        <v>REVENUE REALISED</v>
      </c>
      <c r="M12" t="s">
        <v>35</v>
      </c>
      <c r="N12" t="s">
        <v>73</v>
      </c>
      <c r="O12" t="s">
        <v>18</v>
      </c>
      <c r="P12" t="s">
        <v>61</v>
      </c>
      <c r="R12" t="s">
        <v>16</v>
      </c>
      <c r="S12" t="str">
        <f>IF(S8&gt;20000,"exceeding","not exceeding")</f>
        <v>exceeding</v>
      </c>
    </row>
    <row r="13" spans="1:19" x14ac:dyDescent="0.3">
      <c r="A13">
        <v>112</v>
      </c>
      <c r="B13" t="s">
        <v>412</v>
      </c>
      <c r="C13" s="1">
        <v>46097</v>
      </c>
      <c r="D13" s="1">
        <v>46101</v>
      </c>
      <c r="E13" s="1" t="str">
        <f>IF(Table1_1[[#This Row],[TODAYS DATE]]-Table1_1[[#This Row],[Date]]&gt;7,"OLD ORDER","RECENT ORDER")</f>
        <v>RECENT ORDER</v>
      </c>
      <c r="F13" s="2">
        <f>SUMIF(Table1_1[Date],C15,Table1_1[Amount])</f>
        <v>43430</v>
      </c>
      <c r="G13" s="1" t="str">
        <f>IF(WEEKDAY(Table1_1[[#This Row],[Date]])&gt;5,"WEEKEND","WEEKDAY")</f>
        <v>WEEKDAY</v>
      </c>
      <c r="H13">
        <v>9327374620</v>
      </c>
      <c r="I13" t="s">
        <v>413</v>
      </c>
      <c r="J13">
        <v>2141</v>
      </c>
      <c r="K13" t="str">
        <f>IF(Table1_1[[#This Row],[Amount]]&gt;=4000,"LARGE ORDER","SMALL ORDER")</f>
        <v>SMALL ORDER</v>
      </c>
      <c r="L13" t="str">
        <f>IF(Table1_1[[#This Row],[Status]]="COMPLETED","REVENUE REALISED","AWAITING COMPLETION")</f>
        <v>REVENUE REALISED</v>
      </c>
      <c r="M13" t="s">
        <v>414</v>
      </c>
      <c r="N13" t="s">
        <v>73</v>
      </c>
      <c r="O13" t="s">
        <v>98</v>
      </c>
      <c r="P13" t="s">
        <v>61</v>
      </c>
      <c r="R13" t="s">
        <v>158</v>
      </c>
      <c r="S13" t="str">
        <f>IF(S10&gt;20000,"exceeding","not exceeding")</f>
        <v>exceeding</v>
      </c>
    </row>
    <row r="14" spans="1:19" x14ac:dyDescent="0.3">
      <c r="A14">
        <v>113</v>
      </c>
      <c r="B14" t="s">
        <v>21</v>
      </c>
      <c r="C14" s="1">
        <v>46097</v>
      </c>
      <c r="D14" s="1">
        <v>46101</v>
      </c>
      <c r="E14" s="1" t="str">
        <f>IF(Table1_1[[#This Row],[TODAYS DATE]]-Table1_1[[#This Row],[Date]]&gt;7,"OLD ORDER","RECENT ORDER")</f>
        <v>RECENT ORDER</v>
      </c>
      <c r="F14" s="2">
        <f>SUMIF(Table1_1[Date],C16,Table1_1[Amount])</f>
        <v>33875</v>
      </c>
      <c r="G14" s="1" t="str">
        <f>IF(WEEKDAY(Table1_1[[#This Row],[Date]])&gt;5,"WEEKEND","WEEKDAY")</f>
        <v>WEEKDAY</v>
      </c>
      <c r="H14">
        <v>909030091</v>
      </c>
      <c r="I14" t="s">
        <v>404</v>
      </c>
      <c r="J14">
        <v>4944</v>
      </c>
      <c r="K14" t="str">
        <f>IF(Table1_1[[#This Row],[Amount]]&gt;=4000,"LARGE ORDER","SMALL ORDER")</f>
        <v>LARGE ORDER</v>
      </c>
      <c r="L14" t="str">
        <f>IF(Table1_1[[#This Row],[Status]]="COMPLETED","REVENUE REALISED","AWAITING COMPLETION")</f>
        <v>AWAITING COMPLETION</v>
      </c>
      <c r="M14" t="s">
        <v>407</v>
      </c>
      <c r="N14" t="s">
        <v>73</v>
      </c>
      <c r="O14" t="s">
        <v>98</v>
      </c>
      <c r="P14" t="s">
        <v>37</v>
      </c>
    </row>
    <row r="15" spans="1:19" x14ac:dyDescent="0.3">
      <c r="A15">
        <v>114</v>
      </c>
      <c r="B15" t="s">
        <v>415</v>
      </c>
      <c r="C15" s="1">
        <v>46095</v>
      </c>
      <c r="D15" s="1">
        <v>46101</v>
      </c>
      <c r="E15" s="1" t="str">
        <f>IF(Table1_1[[#This Row],[TODAYS DATE]]-Table1_1[[#This Row],[Date]]&gt;7,"OLD ORDER","RECENT ORDER")</f>
        <v>RECENT ORDER</v>
      </c>
      <c r="F15" s="2">
        <f>SUMIF(Table1_1[Date],C17,Table1_1[Amount])</f>
        <v>49955</v>
      </c>
      <c r="G15" s="1" t="str">
        <f>IF(WEEKDAY(Table1_1[[#This Row],[Date]])&gt;5,"WEEKEND","WEEKDAY")</f>
        <v>WEEKEND</v>
      </c>
      <c r="H15">
        <v>949786321</v>
      </c>
      <c r="I15" t="s">
        <v>105</v>
      </c>
      <c r="J15">
        <v>5223</v>
      </c>
      <c r="K15" t="str">
        <f>IF(Table1_1[[#This Row],[Amount]]&gt;=4000,"LARGE ORDER","SMALL ORDER")</f>
        <v>LARGE ORDER</v>
      </c>
      <c r="L15" t="str">
        <f>IF(Table1_1[[#This Row],[Status]]="COMPLETED","REVENUE REALISED","AWAITING COMPLETION")</f>
        <v>REVENUE REALISED</v>
      </c>
      <c r="M15" t="s">
        <v>407</v>
      </c>
      <c r="N15" t="s">
        <v>409</v>
      </c>
      <c r="O15" t="s">
        <v>74</v>
      </c>
      <c r="P15" t="s">
        <v>61</v>
      </c>
    </row>
    <row r="16" spans="1:19" x14ac:dyDescent="0.3">
      <c r="A16">
        <v>115</v>
      </c>
      <c r="B16" t="s">
        <v>21</v>
      </c>
      <c r="C16" s="1">
        <v>46088</v>
      </c>
      <c r="D16" s="1">
        <v>46101</v>
      </c>
      <c r="E16" s="1" t="str">
        <f>IF(Table1_1[[#This Row],[TODAYS DATE]]-Table1_1[[#This Row],[Date]]&gt;7,"OLD ORDER","RECENT ORDER")</f>
        <v>OLD ORDER</v>
      </c>
      <c r="F16" s="2">
        <f>SUMIF(Table1_1[Date],C18,Table1_1[Amount])</f>
        <v>40941</v>
      </c>
      <c r="G16" s="1" t="str">
        <f>IF(WEEKDAY(Table1_1[[#This Row],[Date]])&gt;5,"WEEKEND","WEEKDAY")</f>
        <v>WEEKEND</v>
      </c>
      <c r="H16">
        <v>9207171738</v>
      </c>
      <c r="I16" t="s">
        <v>404</v>
      </c>
      <c r="J16">
        <v>5566</v>
      </c>
      <c r="K16" t="str">
        <f>IF(Table1_1[[#This Row],[Amount]]&gt;=4000,"LARGE ORDER","SMALL ORDER")</f>
        <v>LARGE ORDER</v>
      </c>
      <c r="L16" t="str">
        <f>IF(Table1_1[[#This Row],[Status]]="COMPLETED","REVENUE REALISED","AWAITING COMPLETION")</f>
        <v>AWAITING COMPLETION</v>
      </c>
      <c r="M16" t="s">
        <v>407</v>
      </c>
      <c r="N16" t="s">
        <v>73</v>
      </c>
      <c r="O16" t="s">
        <v>3</v>
      </c>
      <c r="P16" t="s">
        <v>37</v>
      </c>
    </row>
    <row r="17" spans="1:16" x14ac:dyDescent="0.3">
      <c r="A17">
        <v>116</v>
      </c>
      <c r="B17" t="s">
        <v>397</v>
      </c>
      <c r="C17" s="1">
        <v>46092</v>
      </c>
      <c r="D17" s="1">
        <v>46101</v>
      </c>
      <c r="E17" s="1" t="str">
        <f>IF(Table1_1[[#This Row],[TODAYS DATE]]-Table1_1[[#This Row],[Date]]&gt;7,"OLD ORDER","RECENT ORDER")</f>
        <v>OLD ORDER</v>
      </c>
      <c r="F17" s="2">
        <f>SUMIF(Table1_1[Date],C19,Table1_1[Amount])</f>
        <v>20829</v>
      </c>
      <c r="G17" s="1" t="str">
        <f>IF(WEEKDAY(Table1_1[[#This Row],[Date]])&gt;5,"WEEKEND","WEEKDAY")</f>
        <v>WEEKDAY</v>
      </c>
      <c r="H17">
        <v>9560797352</v>
      </c>
      <c r="I17" t="s">
        <v>406</v>
      </c>
      <c r="J17">
        <v>2080</v>
      </c>
      <c r="K17" t="str">
        <f>IF(Table1_1[[#This Row],[Amount]]&gt;=4000,"LARGE ORDER","SMALL ORDER")</f>
        <v>SMALL ORDER</v>
      </c>
      <c r="L17" t="str">
        <f>IF(Table1_1[[#This Row],[Status]]="COMPLETED","REVENUE REALISED","AWAITING COMPLETION")</f>
        <v>REVENUE REALISED</v>
      </c>
      <c r="M17" t="s">
        <v>114</v>
      </c>
      <c r="N17" t="s">
        <v>73</v>
      </c>
      <c r="O17" t="s">
        <v>98</v>
      </c>
      <c r="P17" t="s">
        <v>61</v>
      </c>
    </row>
    <row r="18" spans="1:16" x14ac:dyDescent="0.3">
      <c r="A18">
        <v>117</v>
      </c>
      <c r="B18" t="s">
        <v>403</v>
      </c>
      <c r="C18" s="1">
        <v>46090</v>
      </c>
      <c r="D18" s="1">
        <v>46101</v>
      </c>
      <c r="E18" s="1" t="str">
        <f>IF(Table1_1[[#This Row],[TODAYS DATE]]-Table1_1[[#This Row],[Date]]&gt;7,"OLD ORDER","RECENT ORDER")</f>
        <v>OLD ORDER</v>
      </c>
      <c r="F18" s="2">
        <f>SUMIF(Table1_1[Date],C20,Table1_1[Amount])</f>
        <v>18785</v>
      </c>
      <c r="G18" s="1" t="str">
        <f>IF(WEEKDAY(Table1_1[[#This Row],[Date]])&gt;5,"WEEKEND","WEEKDAY")</f>
        <v>WEEKDAY</v>
      </c>
      <c r="H18">
        <v>9986023765</v>
      </c>
      <c r="I18" t="s">
        <v>50</v>
      </c>
      <c r="J18">
        <v>3548</v>
      </c>
      <c r="K18" t="str">
        <f>IF(Table1_1[[#This Row],[Amount]]&gt;=4000,"LARGE ORDER","SMALL ORDER")</f>
        <v>SMALL ORDER</v>
      </c>
      <c r="L18" t="str">
        <f>IF(Table1_1[[#This Row],[Status]]="COMPLETED","REVENUE REALISED","AWAITING COMPLETION")</f>
        <v>AWAITING COMPLETION</v>
      </c>
      <c r="M18" t="s">
        <v>52</v>
      </c>
      <c r="N18" t="s">
        <v>53</v>
      </c>
      <c r="O18" t="s">
        <v>98</v>
      </c>
      <c r="P18" t="s">
        <v>37</v>
      </c>
    </row>
    <row r="19" spans="1:16" x14ac:dyDescent="0.3">
      <c r="A19">
        <v>118</v>
      </c>
      <c r="B19" t="s">
        <v>397</v>
      </c>
      <c r="C19" s="1">
        <v>46094</v>
      </c>
      <c r="D19" s="1">
        <v>46101</v>
      </c>
      <c r="E19" s="1" t="str">
        <f>IF(Table1_1[[#This Row],[TODAYS DATE]]-Table1_1[[#This Row],[Date]]&gt;7,"OLD ORDER","RECENT ORDER")</f>
        <v>RECENT ORDER</v>
      </c>
      <c r="F19" s="2">
        <f>SUMIF(Table1_1[Date],C21,Table1_1[Amount])</f>
        <v>26131</v>
      </c>
      <c r="G19" s="1" t="str">
        <f>IF(WEEKDAY(Table1_1[[#This Row],[Date]])&gt;5,"WEEKEND","WEEKDAY")</f>
        <v>WEEKEND</v>
      </c>
      <c r="H19">
        <v>9239533</v>
      </c>
      <c r="I19" t="s">
        <v>172</v>
      </c>
      <c r="J19">
        <v>2991</v>
      </c>
      <c r="K19" t="str">
        <f>IF(Table1_1[[#This Row],[Amount]]&gt;=4000,"LARGE ORDER","SMALL ORDER")</f>
        <v>SMALL ORDER</v>
      </c>
      <c r="L19" t="str">
        <f>IF(Table1_1[[#This Row],[Status]]="COMPLETED","REVENUE REALISED","AWAITING COMPLETION")</f>
        <v>REVENUE REALISED</v>
      </c>
      <c r="M19" t="s">
        <v>414</v>
      </c>
      <c r="N19" t="s">
        <v>73</v>
      </c>
      <c r="O19" t="s">
        <v>74</v>
      </c>
      <c r="P19" t="s">
        <v>61</v>
      </c>
    </row>
    <row r="20" spans="1:16" x14ac:dyDescent="0.3">
      <c r="A20">
        <v>119</v>
      </c>
      <c r="B20" t="s">
        <v>397</v>
      </c>
      <c r="C20" s="1">
        <v>46093</v>
      </c>
      <c r="D20" s="1">
        <v>46101</v>
      </c>
      <c r="E20" s="1" t="str">
        <f>IF(Table1_1[[#This Row],[TODAYS DATE]]-Table1_1[[#This Row],[Date]]&gt;7,"OLD ORDER","RECENT ORDER")</f>
        <v>OLD ORDER</v>
      </c>
      <c r="F20" s="2">
        <f>SUMIF(Table1_1[Date],C22,Table1_1[Amount])</f>
        <v>49955</v>
      </c>
      <c r="G20" s="1" t="str">
        <f>IF(WEEKDAY(Table1_1[[#This Row],[Date]])&gt;5,"WEEKEND","WEEKDAY")</f>
        <v>WEEKDAY</v>
      </c>
      <c r="H20">
        <v>9309635814</v>
      </c>
      <c r="I20" t="s">
        <v>406</v>
      </c>
      <c r="J20">
        <v>3238</v>
      </c>
      <c r="K20" t="str">
        <f>IF(Table1_1[[#This Row],[Amount]]&gt;=4000,"LARGE ORDER","SMALL ORDER")</f>
        <v>SMALL ORDER</v>
      </c>
      <c r="L20" t="str">
        <f>IF(Table1_1[[#This Row],[Status]]="COMPLETED","REVENUE REALISED","AWAITING COMPLETION")</f>
        <v>AWAITING COMPLETION</v>
      </c>
      <c r="M20" t="s">
        <v>35</v>
      </c>
      <c r="N20" t="s">
        <v>53</v>
      </c>
      <c r="O20" t="s">
        <v>18</v>
      </c>
      <c r="P20" t="s">
        <v>37</v>
      </c>
    </row>
    <row r="21" spans="1:16" x14ac:dyDescent="0.3">
      <c r="A21">
        <v>120</v>
      </c>
      <c r="B21" t="s">
        <v>21</v>
      </c>
      <c r="C21" s="1">
        <v>46089</v>
      </c>
      <c r="D21" s="1">
        <v>46101</v>
      </c>
      <c r="E21" s="1" t="str">
        <f>IF(Table1_1[[#This Row],[TODAYS DATE]]-Table1_1[[#This Row],[Date]]&gt;7,"OLD ORDER","RECENT ORDER")</f>
        <v>OLD ORDER</v>
      </c>
      <c r="F21" s="2">
        <f>SUMIF(Table1_1[Date],C23,Table1_1[Amount])</f>
        <v>49303</v>
      </c>
      <c r="G21" s="1" t="str">
        <f>IF(WEEKDAY(Table1_1[[#This Row],[Date]])&gt;5,"WEEKEND","WEEKDAY")</f>
        <v>WEEKDAY</v>
      </c>
      <c r="H21">
        <v>9587836292</v>
      </c>
      <c r="I21" t="s">
        <v>78</v>
      </c>
      <c r="J21">
        <v>5291</v>
      </c>
      <c r="K21" t="str">
        <f>IF(Table1_1[[#This Row],[Amount]]&gt;=4000,"LARGE ORDER","SMALL ORDER")</f>
        <v>LARGE ORDER</v>
      </c>
      <c r="L21" t="str">
        <f>IF(Table1_1[[#This Row],[Status]]="COMPLETED","REVENUE REALISED","AWAITING COMPLETION")</f>
        <v>AWAITING COMPLETION</v>
      </c>
      <c r="M21" t="s">
        <v>407</v>
      </c>
      <c r="N21" t="s">
        <v>53</v>
      </c>
      <c r="O21" t="s">
        <v>74</v>
      </c>
      <c r="P21" t="s">
        <v>37</v>
      </c>
    </row>
    <row r="22" spans="1:16" x14ac:dyDescent="0.3">
      <c r="A22">
        <v>121</v>
      </c>
      <c r="B22" t="s">
        <v>403</v>
      </c>
      <c r="C22" s="1">
        <v>46092</v>
      </c>
      <c r="D22" s="1">
        <v>46101</v>
      </c>
      <c r="E22" s="1" t="str">
        <f>IF(Table1_1[[#This Row],[TODAYS DATE]]-Table1_1[[#This Row],[Date]]&gt;7,"OLD ORDER","RECENT ORDER")</f>
        <v>OLD ORDER</v>
      </c>
      <c r="F22" s="2">
        <f>SUMIF(Table1_1[Date],C24,Table1_1[Amount])</f>
        <v>43430</v>
      </c>
      <c r="G22" s="1" t="str">
        <f>IF(WEEKDAY(Table1_1[[#This Row],[Date]])&gt;5,"WEEKEND","WEEKDAY")</f>
        <v>WEEKDAY</v>
      </c>
      <c r="H22">
        <v>9166436490</v>
      </c>
      <c r="I22" t="s">
        <v>50</v>
      </c>
      <c r="J22">
        <v>4925</v>
      </c>
      <c r="K22" t="str">
        <f>IF(Table1_1[[#This Row],[Amount]]&gt;=4000,"LARGE ORDER","SMALL ORDER")</f>
        <v>LARGE ORDER</v>
      </c>
      <c r="L22" t="str">
        <f>IF(Table1_1[[#This Row],[Status]]="COMPLETED","REVENUE REALISED","AWAITING COMPLETION")</f>
        <v>REVENUE REALISED</v>
      </c>
      <c r="M22" t="s">
        <v>86</v>
      </c>
      <c r="N22" t="s">
        <v>73</v>
      </c>
      <c r="O22" t="s">
        <v>18</v>
      </c>
      <c r="P22" t="s">
        <v>61</v>
      </c>
    </row>
    <row r="23" spans="1:16" x14ac:dyDescent="0.3">
      <c r="A23">
        <v>122</v>
      </c>
      <c r="B23" t="s">
        <v>415</v>
      </c>
      <c r="C23" s="1">
        <v>46091</v>
      </c>
      <c r="D23" s="1">
        <v>46101</v>
      </c>
      <c r="E23" s="1" t="str">
        <f>IF(Table1_1[[#This Row],[TODAYS DATE]]-Table1_1[[#This Row],[Date]]&gt;7,"OLD ORDER","RECENT ORDER")</f>
        <v>OLD ORDER</v>
      </c>
      <c r="F23" s="2">
        <f>SUMIF(Table1_1[Date],C25,Table1_1[Amount])</f>
        <v>49303</v>
      </c>
      <c r="G23" s="1" t="str">
        <f>IF(WEEKDAY(Table1_1[[#This Row],[Date]])&gt;5,"WEEKEND","WEEKDAY")</f>
        <v>WEEKDAY</v>
      </c>
      <c r="H23">
        <v>9302112943</v>
      </c>
      <c r="I23" t="s">
        <v>105</v>
      </c>
      <c r="J23">
        <v>5627</v>
      </c>
      <c r="K23" t="str">
        <f>IF(Table1_1[[#This Row],[Amount]]&gt;=4000,"LARGE ORDER","SMALL ORDER")</f>
        <v>LARGE ORDER</v>
      </c>
      <c r="L23" t="str">
        <f>IF(Table1_1[[#This Row],[Status]]="COMPLETED","REVENUE REALISED","AWAITING COMPLETION")</f>
        <v>AWAITING COMPLETION</v>
      </c>
      <c r="M23" t="s">
        <v>407</v>
      </c>
      <c r="N23" t="s">
        <v>53</v>
      </c>
      <c r="O23" t="s">
        <v>98</v>
      </c>
      <c r="P23" t="s">
        <v>136</v>
      </c>
    </row>
    <row r="24" spans="1:16" x14ac:dyDescent="0.3">
      <c r="A24">
        <v>123</v>
      </c>
      <c r="B24" t="s">
        <v>138</v>
      </c>
      <c r="C24" s="1">
        <v>46095</v>
      </c>
      <c r="D24" s="1">
        <v>46101</v>
      </c>
      <c r="E24" s="1" t="str">
        <f>IF(Table1_1[[#This Row],[TODAYS DATE]]-Table1_1[[#This Row],[Date]]&gt;7,"OLD ORDER","RECENT ORDER")</f>
        <v>RECENT ORDER</v>
      </c>
      <c r="F24" s="2">
        <f>SUMIF(Table1_1[Date],C26,Table1_1[Amount])</f>
        <v>49955</v>
      </c>
      <c r="G24" s="1" t="str">
        <f>IF(WEEKDAY(Table1_1[[#This Row],[Date]])&gt;5,"WEEKEND","WEEKDAY")</f>
        <v>WEEKEND</v>
      </c>
      <c r="H24">
        <v>9651517836</v>
      </c>
      <c r="I24" t="s">
        <v>140</v>
      </c>
      <c r="J24">
        <v>2836</v>
      </c>
      <c r="K24" t="str">
        <f>IF(Table1_1[[#This Row],[Amount]]&gt;=4000,"LARGE ORDER","SMALL ORDER")</f>
        <v>SMALL ORDER</v>
      </c>
      <c r="L24" t="str">
        <f>IF(Table1_1[[#This Row],[Status]]="COMPLETED","REVENUE REALISED","AWAITING COMPLETION")</f>
        <v>AWAITING COMPLETION</v>
      </c>
      <c r="M24" t="s">
        <v>26</v>
      </c>
      <c r="N24" t="s">
        <v>409</v>
      </c>
      <c r="O24" t="s">
        <v>3</v>
      </c>
      <c r="P24" t="s">
        <v>136</v>
      </c>
    </row>
    <row r="25" spans="1:16" x14ac:dyDescent="0.3">
      <c r="A25">
        <v>124</v>
      </c>
      <c r="B25" t="s">
        <v>416</v>
      </c>
      <c r="C25" s="1">
        <v>46091</v>
      </c>
      <c r="D25" s="1">
        <v>46101</v>
      </c>
      <c r="E25" s="1" t="str">
        <f>IF(Table1_1[[#This Row],[TODAYS DATE]]-Table1_1[[#This Row],[Date]]&gt;7,"OLD ORDER","RECENT ORDER")</f>
        <v>OLD ORDER</v>
      </c>
      <c r="F25" s="2">
        <f>SUMIF(Table1_1[Date],C27,Table1_1[Amount])</f>
        <v>49955</v>
      </c>
      <c r="G25" s="1" t="str">
        <f>IF(WEEKDAY(Table1_1[[#This Row],[Date]])&gt;5,"WEEKEND","WEEKDAY")</f>
        <v>WEEKDAY</v>
      </c>
      <c r="H25">
        <v>9456450560</v>
      </c>
      <c r="I25" t="s">
        <v>145</v>
      </c>
      <c r="J25">
        <v>3540</v>
      </c>
      <c r="K25" t="str">
        <f>IF(Table1_1[[#This Row],[Amount]]&gt;=4000,"LARGE ORDER","SMALL ORDER")</f>
        <v>SMALL ORDER</v>
      </c>
      <c r="L25" t="str">
        <f>IF(Table1_1[[#This Row],[Status]]="COMPLETED","REVENUE REALISED","AWAITING COMPLETION")</f>
        <v>REVENUE REALISED</v>
      </c>
      <c r="M25" t="s">
        <v>35</v>
      </c>
      <c r="N25" t="s">
        <v>73</v>
      </c>
      <c r="O25" t="s">
        <v>3</v>
      </c>
      <c r="P25" t="s">
        <v>61</v>
      </c>
    </row>
    <row r="26" spans="1:16" x14ac:dyDescent="0.3">
      <c r="A26">
        <v>125</v>
      </c>
      <c r="B26" t="s">
        <v>412</v>
      </c>
      <c r="C26" s="1">
        <v>46092</v>
      </c>
      <c r="D26" s="1">
        <v>46101</v>
      </c>
      <c r="E26" s="1" t="str">
        <f>IF(Table1_1[[#This Row],[TODAYS DATE]]-Table1_1[[#This Row],[Date]]&gt;7,"OLD ORDER","RECENT ORDER")</f>
        <v>OLD ORDER</v>
      </c>
      <c r="F26" s="2">
        <f>SUMIF(Table1_1[Date],C28,Table1_1[Amount])</f>
        <v>18785</v>
      </c>
      <c r="G26" s="1" t="str">
        <f>IF(WEEKDAY(Table1_1[[#This Row],[Date]])&gt;5,"WEEKEND","WEEKDAY")</f>
        <v>WEEKDAY</v>
      </c>
      <c r="H26">
        <v>9490687752</v>
      </c>
      <c r="I26" t="s">
        <v>413</v>
      </c>
      <c r="J26">
        <v>4899</v>
      </c>
      <c r="K26" t="str">
        <f>IF(Table1_1[[#This Row],[Amount]]&gt;=4000,"LARGE ORDER","SMALL ORDER")</f>
        <v>LARGE ORDER</v>
      </c>
      <c r="L26" t="str">
        <f>IF(Table1_1[[#This Row],[Status]]="COMPLETED","REVENUE REALISED","AWAITING COMPLETION")</f>
        <v>REVENUE REALISED</v>
      </c>
      <c r="M26" t="s">
        <v>86</v>
      </c>
      <c r="N26" t="s">
        <v>53</v>
      </c>
      <c r="O26" t="s">
        <v>74</v>
      </c>
      <c r="P26" t="s">
        <v>61</v>
      </c>
    </row>
    <row r="27" spans="1:16" x14ac:dyDescent="0.3">
      <c r="A27">
        <v>126</v>
      </c>
      <c r="B27" t="s">
        <v>399</v>
      </c>
      <c r="C27" s="1">
        <v>46092</v>
      </c>
      <c r="D27" s="1">
        <v>46101</v>
      </c>
      <c r="E27" s="1" t="str">
        <f>IF(Table1_1[[#This Row],[TODAYS DATE]]-Table1_1[[#This Row],[Date]]&gt;7,"OLD ORDER","RECENT ORDER")</f>
        <v>OLD ORDER</v>
      </c>
      <c r="F27" s="2">
        <f>SUMIF(Table1_1[Date],C29,Table1_1[Amount])</f>
        <v>26244</v>
      </c>
      <c r="G27" s="1" t="str">
        <f>IF(WEEKDAY(Table1_1[[#This Row],[Date]])&gt;5,"WEEKEND","WEEKDAY")</f>
        <v>WEEKDAY</v>
      </c>
      <c r="H27">
        <v>9026633344</v>
      </c>
      <c r="I27" t="s">
        <v>400</v>
      </c>
      <c r="J27">
        <v>1311</v>
      </c>
      <c r="K27" t="str">
        <f>IF(Table1_1[[#This Row],[Amount]]&gt;=4000,"LARGE ORDER","SMALL ORDER")</f>
        <v>SMALL ORDER</v>
      </c>
      <c r="L27" t="str">
        <f>IF(Table1_1[[#This Row],[Status]]="COMPLETED","REVENUE REALISED","AWAITING COMPLETION")</f>
        <v>AWAITING COMPLETION</v>
      </c>
      <c r="M27" t="s">
        <v>35</v>
      </c>
      <c r="N27" t="s">
        <v>73</v>
      </c>
      <c r="O27" t="s">
        <v>3</v>
      </c>
      <c r="P27" t="s">
        <v>136</v>
      </c>
    </row>
    <row r="28" spans="1:16" x14ac:dyDescent="0.3">
      <c r="A28">
        <v>127</v>
      </c>
      <c r="B28" t="s">
        <v>416</v>
      </c>
      <c r="C28" s="1">
        <v>46093</v>
      </c>
      <c r="D28" s="1">
        <v>46101</v>
      </c>
      <c r="E28" s="1" t="str">
        <f>IF(Table1_1[[#This Row],[TODAYS DATE]]-Table1_1[[#This Row],[Date]]&gt;7,"OLD ORDER","RECENT ORDER")</f>
        <v>OLD ORDER</v>
      </c>
      <c r="F28" s="2">
        <f>SUMIF(Table1_1[Date],C30,Table1_1[Amount])</f>
        <v>49955</v>
      </c>
      <c r="G28" s="1" t="str">
        <f>IF(WEEKDAY(Table1_1[[#This Row],[Date]])&gt;5,"WEEKEND","WEEKDAY")</f>
        <v>WEEKDAY</v>
      </c>
      <c r="H28">
        <v>9822113157</v>
      </c>
      <c r="I28" t="s">
        <v>417</v>
      </c>
      <c r="J28">
        <v>4303</v>
      </c>
      <c r="K28" t="str">
        <f>IF(Table1_1[[#This Row],[Amount]]&gt;=4000,"LARGE ORDER","SMALL ORDER")</f>
        <v>LARGE ORDER</v>
      </c>
      <c r="L28" t="str">
        <f>IF(Table1_1[[#This Row],[Status]]="COMPLETED","REVENUE REALISED","AWAITING COMPLETION")</f>
        <v>REVENUE REALISED</v>
      </c>
      <c r="M28" t="s">
        <v>418</v>
      </c>
      <c r="N28" t="s">
        <v>53</v>
      </c>
      <c r="O28" t="s">
        <v>3</v>
      </c>
      <c r="P28" t="s">
        <v>61</v>
      </c>
    </row>
    <row r="29" spans="1:16" x14ac:dyDescent="0.3">
      <c r="A29">
        <v>128</v>
      </c>
      <c r="B29" t="s">
        <v>403</v>
      </c>
      <c r="C29" s="1">
        <v>46096</v>
      </c>
      <c r="D29" s="1">
        <v>46101</v>
      </c>
      <c r="E29" s="1" t="str">
        <f>IF(Table1_1[[#This Row],[TODAYS DATE]]-Table1_1[[#This Row],[Date]]&gt;7,"OLD ORDER","RECENT ORDER")</f>
        <v>RECENT ORDER</v>
      </c>
      <c r="F29" s="2">
        <f>SUMIF(Table1_1[Date],C31,Table1_1[Amount])</f>
        <v>37129</v>
      </c>
      <c r="G29" s="1" t="str">
        <f>IF(WEEKDAY(Table1_1[[#This Row],[Date]])&gt;5,"WEEKEND","WEEKDAY")</f>
        <v>WEEKDAY</v>
      </c>
      <c r="H29">
        <v>9926148</v>
      </c>
      <c r="I29" t="s">
        <v>50</v>
      </c>
      <c r="J29">
        <v>4510</v>
      </c>
      <c r="K29" t="str">
        <f>IF(Table1_1[[#This Row],[Amount]]&gt;=4000,"LARGE ORDER","SMALL ORDER")</f>
        <v>LARGE ORDER</v>
      </c>
      <c r="L29" t="str">
        <f>IF(Table1_1[[#This Row],[Status]]="COMPLETED","REVENUE REALISED","AWAITING COMPLETION")</f>
        <v>AWAITING COMPLETION</v>
      </c>
      <c r="M29" t="s">
        <v>398</v>
      </c>
      <c r="N29" t="s">
        <v>73</v>
      </c>
      <c r="O29" t="s">
        <v>18</v>
      </c>
      <c r="P29" t="s">
        <v>136</v>
      </c>
    </row>
    <row r="30" spans="1:16" x14ac:dyDescent="0.3">
      <c r="A30">
        <v>129</v>
      </c>
      <c r="B30" t="s">
        <v>21</v>
      </c>
      <c r="C30" s="1">
        <v>46092</v>
      </c>
      <c r="D30" s="1">
        <v>46101</v>
      </c>
      <c r="E30" s="1" t="str">
        <f>IF(Table1_1[[#This Row],[TODAYS DATE]]-Table1_1[[#This Row],[Date]]&gt;7,"OLD ORDER","RECENT ORDER")</f>
        <v>OLD ORDER</v>
      </c>
      <c r="F30" s="2">
        <f>SUMIF(Table1_1[Date],C32,Table1_1[Amount])</f>
        <v>33875</v>
      </c>
      <c r="G30" s="1" t="str">
        <f>IF(WEEKDAY(Table1_1[[#This Row],[Date]])&gt;5,"WEEKEND","WEEKDAY")</f>
        <v>WEEKDAY</v>
      </c>
      <c r="H30">
        <v>9840168459</v>
      </c>
      <c r="I30" t="s">
        <v>78</v>
      </c>
      <c r="J30">
        <v>1605</v>
      </c>
      <c r="K30" t="str">
        <f>IF(Table1_1[[#This Row],[Amount]]&gt;=4000,"LARGE ORDER","SMALL ORDER")</f>
        <v>SMALL ORDER</v>
      </c>
      <c r="L30" t="str">
        <f>IF(Table1_1[[#This Row],[Status]]="COMPLETED","REVENUE REALISED","AWAITING COMPLETION")</f>
        <v>AWAITING COMPLETION</v>
      </c>
      <c r="M30" t="s">
        <v>35</v>
      </c>
      <c r="N30" t="s">
        <v>53</v>
      </c>
      <c r="O30" t="s">
        <v>18</v>
      </c>
      <c r="P30" t="s">
        <v>37</v>
      </c>
    </row>
    <row r="31" spans="1:16" x14ac:dyDescent="0.3">
      <c r="A31">
        <v>130</v>
      </c>
      <c r="B31" t="s">
        <v>412</v>
      </c>
      <c r="C31" s="1">
        <v>46097</v>
      </c>
      <c r="D31" s="1">
        <v>46101</v>
      </c>
      <c r="E31" s="1" t="str">
        <f>IF(Table1_1[[#This Row],[TODAYS DATE]]-Table1_1[[#This Row],[Date]]&gt;7,"OLD ORDER","RECENT ORDER")</f>
        <v>RECENT ORDER</v>
      </c>
      <c r="F31" s="2">
        <f>SUMIF(Table1_1[Date],C33,Table1_1[Amount])</f>
        <v>49303</v>
      </c>
      <c r="G31" s="1" t="str">
        <f>IF(WEEKDAY(Table1_1[[#This Row],[Date]])&gt;5,"WEEKEND","WEEKDAY")</f>
        <v>WEEKDAY</v>
      </c>
      <c r="H31">
        <v>977876612</v>
      </c>
      <c r="I31" t="s">
        <v>168</v>
      </c>
      <c r="J31">
        <v>4456</v>
      </c>
      <c r="K31" t="str">
        <f>IF(Table1_1[[#This Row],[Amount]]&gt;=4000,"LARGE ORDER","SMALL ORDER")</f>
        <v>LARGE ORDER</v>
      </c>
      <c r="L31" t="str">
        <f>IF(Table1_1[[#This Row],[Status]]="COMPLETED","REVENUE REALISED","AWAITING COMPLETION")</f>
        <v>AWAITING COMPLETION</v>
      </c>
      <c r="M31" t="s">
        <v>86</v>
      </c>
      <c r="N31" t="s">
        <v>53</v>
      </c>
      <c r="O31" t="s">
        <v>74</v>
      </c>
      <c r="P31" t="s">
        <v>136</v>
      </c>
    </row>
    <row r="32" spans="1:16" x14ac:dyDescent="0.3">
      <c r="A32">
        <v>131</v>
      </c>
      <c r="B32" t="s">
        <v>397</v>
      </c>
      <c r="C32" s="1">
        <v>46088</v>
      </c>
      <c r="D32" s="1">
        <v>46101</v>
      </c>
      <c r="E32" s="1" t="str">
        <f>IF(Table1_1[[#This Row],[TODAYS DATE]]-Table1_1[[#This Row],[Date]]&gt;7,"OLD ORDER","RECENT ORDER")</f>
        <v>OLD ORDER</v>
      </c>
      <c r="F32" s="2">
        <f>SUMIF(Table1_1[Date],C34,Table1_1[Amount])</f>
        <v>18785</v>
      </c>
      <c r="G32" s="1" t="str">
        <f>IF(WEEKDAY(Table1_1[[#This Row],[Date]])&gt;5,"WEEKEND","WEEKDAY")</f>
        <v>WEEKEND</v>
      </c>
      <c r="H32">
        <v>9006350</v>
      </c>
      <c r="I32" t="s">
        <v>172</v>
      </c>
      <c r="J32">
        <v>3139</v>
      </c>
      <c r="K32" t="str">
        <f>IF(Table1_1[[#This Row],[Amount]]&gt;=4000,"LARGE ORDER","SMALL ORDER")</f>
        <v>SMALL ORDER</v>
      </c>
      <c r="L32" t="str">
        <f>IF(Table1_1[[#This Row],[Status]]="COMPLETED","REVENUE REALISED","AWAITING COMPLETION")</f>
        <v>AWAITING COMPLETION</v>
      </c>
      <c r="M32" t="s">
        <v>35</v>
      </c>
      <c r="N32" t="s">
        <v>53</v>
      </c>
      <c r="O32" t="s">
        <v>98</v>
      </c>
      <c r="P32" t="s">
        <v>37</v>
      </c>
    </row>
    <row r="33" spans="1:16" x14ac:dyDescent="0.3">
      <c r="A33">
        <v>132</v>
      </c>
      <c r="B33" t="s">
        <v>403</v>
      </c>
      <c r="C33" s="1">
        <v>46091</v>
      </c>
      <c r="D33" s="1">
        <v>46101</v>
      </c>
      <c r="E33" s="1" t="str">
        <f>IF(Table1_1[[#This Row],[TODAYS DATE]]-Table1_1[[#This Row],[Date]]&gt;7,"OLD ORDER","RECENT ORDER")</f>
        <v>OLD ORDER</v>
      </c>
      <c r="F33" s="2">
        <f>SUMIF(Table1_1[Date],C35,Table1_1[Amount])</f>
        <v>43430</v>
      </c>
      <c r="G33" s="1" t="str">
        <f>IF(WEEKDAY(Table1_1[[#This Row],[Date]])&gt;5,"WEEKEND","WEEKDAY")</f>
        <v>WEEKDAY</v>
      </c>
      <c r="H33">
        <v>9357446896</v>
      </c>
      <c r="I33" t="s">
        <v>411</v>
      </c>
      <c r="J33">
        <v>2125</v>
      </c>
      <c r="K33" t="str">
        <f>IF(Table1_1[[#This Row],[Amount]]&gt;=4000,"LARGE ORDER","SMALL ORDER")</f>
        <v>SMALL ORDER</v>
      </c>
      <c r="L33" t="str">
        <f>IF(Table1_1[[#This Row],[Status]]="COMPLETED","REVENUE REALISED","AWAITING COMPLETION")</f>
        <v>REVENUE REALISED</v>
      </c>
      <c r="M33" t="s">
        <v>405</v>
      </c>
      <c r="N33" t="s">
        <v>53</v>
      </c>
      <c r="O33" t="s">
        <v>74</v>
      </c>
      <c r="P33" t="s">
        <v>61</v>
      </c>
    </row>
    <row r="34" spans="1:16" x14ac:dyDescent="0.3">
      <c r="A34">
        <v>133</v>
      </c>
      <c r="B34" t="s">
        <v>401</v>
      </c>
      <c r="C34" s="1">
        <v>46093</v>
      </c>
      <c r="D34" s="1">
        <v>46101</v>
      </c>
      <c r="E34" s="1" t="str">
        <f>IF(Table1_1[[#This Row],[TODAYS DATE]]-Table1_1[[#This Row],[Date]]&gt;7,"OLD ORDER","RECENT ORDER")</f>
        <v>OLD ORDER</v>
      </c>
      <c r="F34" s="2">
        <f>SUMIF(Table1_1[Date],C36,Table1_1[Amount])</f>
        <v>33875</v>
      </c>
      <c r="G34" s="1" t="str">
        <f>IF(WEEKDAY(Table1_1[[#This Row],[Date]])&gt;5,"WEEKEND","WEEKDAY")</f>
        <v>WEEKDAY</v>
      </c>
      <c r="H34">
        <v>9738174111</v>
      </c>
      <c r="I34" t="s">
        <v>402</v>
      </c>
      <c r="J34">
        <v>5414</v>
      </c>
      <c r="K34" t="str">
        <f>IF(Table1_1[[#This Row],[Amount]]&gt;=4000,"LARGE ORDER","SMALL ORDER")</f>
        <v>LARGE ORDER</v>
      </c>
      <c r="L34" t="str">
        <f>IF(Table1_1[[#This Row],[Status]]="COMPLETED","REVENUE REALISED","AWAITING COMPLETION")</f>
        <v>REVENUE REALISED</v>
      </c>
      <c r="M34" t="s">
        <v>418</v>
      </c>
      <c r="N34" t="s">
        <v>53</v>
      </c>
      <c r="O34" t="s">
        <v>98</v>
      </c>
      <c r="P34" t="s">
        <v>61</v>
      </c>
    </row>
    <row r="35" spans="1:16" x14ac:dyDescent="0.3">
      <c r="A35">
        <v>134</v>
      </c>
      <c r="B35" t="s">
        <v>21</v>
      </c>
      <c r="C35" s="1">
        <v>46095</v>
      </c>
      <c r="D35" s="1">
        <v>46101</v>
      </c>
      <c r="E35" s="1" t="str">
        <f>IF(Table1_1[[#This Row],[TODAYS DATE]]-Table1_1[[#This Row],[Date]]&gt;7,"OLD ORDER","RECENT ORDER")</f>
        <v>RECENT ORDER</v>
      </c>
      <c r="F35" s="2">
        <f>SUMIF(Table1_1[Date],C37,Table1_1[Amount])</f>
        <v>43430</v>
      </c>
      <c r="G35" s="1" t="str">
        <f>IF(WEEKDAY(Table1_1[[#This Row],[Date]])&gt;5,"WEEKEND","WEEKDAY")</f>
        <v>WEEKEND</v>
      </c>
      <c r="H35">
        <v>9082092328</v>
      </c>
      <c r="I35" t="s">
        <v>78</v>
      </c>
      <c r="J35">
        <v>3078</v>
      </c>
      <c r="K35" t="str">
        <f>IF(Table1_1[[#This Row],[Amount]]&gt;=4000,"LARGE ORDER","SMALL ORDER")</f>
        <v>SMALL ORDER</v>
      </c>
      <c r="L35" t="str">
        <f>IF(Table1_1[[#This Row],[Status]]="COMPLETED","REVENUE REALISED","AWAITING COMPLETION")</f>
        <v>REVENUE REALISED</v>
      </c>
      <c r="M35" t="s">
        <v>86</v>
      </c>
      <c r="N35" t="s">
        <v>53</v>
      </c>
      <c r="O35" t="s">
        <v>3</v>
      </c>
      <c r="P35" t="s">
        <v>61</v>
      </c>
    </row>
    <row r="36" spans="1:16" x14ac:dyDescent="0.3">
      <c r="A36">
        <v>135</v>
      </c>
      <c r="B36" t="s">
        <v>416</v>
      </c>
      <c r="C36" s="1">
        <v>46088</v>
      </c>
      <c r="D36" s="1">
        <v>46101</v>
      </c>
      <c r="E36" s="1" t="str">
        <f>IF(Table1_1[[#This Row],[TODAYS DATE]]-Table1_1[[#This Row],[Date]]&gt;7,"OLD ORDER","RECENT ORDER")</f>
        <v>OLD ORDER</v>
      </c>
      <c r="F36" s="2">
        <f>SUMIF(Table1_1[Date],C38,Table1_1[Amount])</f>
        <v>49955</v>
      </c>
      <c r="G36" s="1" t="str">
        <f>IF(WEEKDAY(Table1_1[[#This Row],[Date]])&gt;5,"WEEKEND","WEEKDAY")</f>
        <v>WEEKEND</v>
      </c>
      <c r="H36">
        <v>9333438882</v>
      </c>
      <c r="I36" t="s">
        <v>417</v>
      </c>
      <c r="J36">
        <v>3180</v>
      </c>
      <c r="K36" t="str">
        <f>IF(Table1_1[[#This Row],[Amount]]&gt;=4000,"LARGE ORDER","SMALL ORDER")</f>
        <v>SMALL ORDER</v>
      </c>
      <c r="L36" t="str">
        <f>IF(Table1_1[[#This Row],[Status]]="COMPLETED","REVENUE REALISED","AWAITING COMPLETION")</f>
        <v>AWAITING COMPLETION</v>
      </c>
      <c r="M36" t="s">
        <v>418</v>
      </c>
      <c r="N36" t="s">
        <v>53</v>
      </c>
      <c r="O36" t="s">
        <v>18</v>
      </c>
      <c r="P36" t="s">
        <v>136</v>
      </c>
    </row>
    <row r="37" spans="1:16" x14ac:dyDescent="0.3">
      <c r="A37">
        <v>136</v>
      </c>
      <c r="B37" t="s">
        <v>82</v>
      </c>
      <c r="C37" s="1">
        <v>46095</v>
      </c>
      <c r="D37" s="1">
        <v>46101</v>
      </c>
      <c r="E37" s="1" t="str">
        <f>IF(Table1_1[[#This Row],[TODAYS DATE]]-Table1_1[[#This Row],[Date]]&gt;7,"OLD ORDER","RECENT ORDER")</f>
        <v>RECENT ORDER</v>
      </c>
      <c r="F37" s="2">
        <f>SUMIF(Table1_1[Date],C39,Table1_1[Amount])</f>
        <v>43430</v>
      </c>
      <c r="G37" s="1" t="str">
        <f>IF(WEEKDAY(Table1_1[[#This Row],[Date]])&gt;5,"WEEKEND","WEEKDAY")</f>
        <v>WEEKEND</v>
      </c>
      <c r="H37">
        <v>9460696530</v>
      </c>
      <c r="I37" t="s">
        <v>410</v>
      </c>
      <c r="J37">
        <v>1284</v>
      </c>
      <c r="K37" t="str">
        <f>IF(Table1_1[[#This Row],[Amount]]&gt;=4000,"LARGE ORDER","SMALL ORDER")</f>
        <v>SMALL ORDER</v>
      </c>
      <c r="L37" t="str">
        <f>IF(Table1_1[[#This Row],[Status]]="COMPLETED","REVENUE REALISED","AWAITING COMPLETION")</f>
        <v>AWAITING COMPLETION</v>
      </c>
      <c r="M37" t="s">
        <v>35</v>
      </c>
      <c r="N37" t="s">
        <v>409</v>
      </c>
      <c r="O37" t="s">
        <v>98</v>
      </c>
      <c r="P37" t="s">
        <v>37</v>
      </c>
    </row>
    <row r="38" spans="1:16" x14ac:dyDescent="0.3">
      <c r="A38">
        <v>137</v>
      </c>
      <c r="B38" t="s">
        <v>416</v>
      </c>
      <c r="C38" s="1">
        <v>46092</v>
      </c>
      <c r="D38" s="1">
        <v>46101</v>
      </c>
      <c r="E38" s="1" t="str">
        <f>IF(Table1_1[[#This Row],[TODAYS DATE]]-Table1_1[[#This Row],[Date]]&gt;7,"OLD ORDER","RECENT ORDER")</f>
        <v>OLD ORDER</v>
      </c>
      <c r="F38" s="2">
        <f>SUMIF(Table1_1[Date],C40,Table1_1[Amount])</f>
        <v>43430</v>
      </c>
      <c r="G38" s="1" t="str">
        <f>IF(WEEKDAY(Table1_1[[#This Row],[Date]])&gt;5,"WEEKEND","WEEKDAY")</f>
        <v>WEEKDAY</v>
      </c>
      <c r="H38">
        <v>9872943352</v>
      </c>
      <c r="I38" t="s">
        <v>417</v>
      </c>
      <c r="J38">
        <v>4441</v>
      </c>
      <c r="K38" t="str">
        <f>IF(Table1_1[[#This Row],[Amount]]&gt;=4000,"LARGE ORDER","SMALL ORDER")</f>
        <v>LARGE ORDER</v>
      </c>
      <c r="L38" t="str">
        <f>IF(Table1_1[[#This Row],[Status]]="COMPLETED","REVENUE REALISED","AWAITING COMPLETION")</f>
        <v>REVENUE REALISED</v>
      </c>
      <c r="M38" t="s">
        <v>405</v>
      </c>
      <c r="N38" t="s">
        <v>53</v>
      </c>
      <c r="O38" t="s">
        <v>98</v>
      </c>
      <c r="P38" t="s">
        <v>61</v>
      </c>
    </row>
    <row r="39" spans="1:16" x14ac:dyDescent="0.3">
      <c r="A39">
        <v>138</v>
      </c>
      <c r="B39" t="s">
        <v>412</v>
      </c>
      <c r="C39" s="1">
        <v>46095</v>
      </c>
      <c r="D39" s="1">
        <v>46101</v>
      </c>
      <c r="E39" s="1" t="str">
        <f>IF(Table1_1[[#This Row],[TODAYS DATE]]-Table1_1[[#This Row],[Date]]&gt;7,"OLD ORDER","RECENT ORDER")</f>
        <v>RECENT ORDER</v>
      </c>
      <c r="F39" s="2">
        <f>SUMIF(Table1_1[Date],C41,Table1_1[Amount])</f>
        <v>37129</v>
      </c>
      <c r="G39" s="1" t="str">
        <f>IF(WEEKDAY(Table1_1[[#This Row],[Date]])&gt;5,"WEEKEND","WEEKDAY")</f>
        <v>WEEKEND</v>
      </c>
      <c r="H39">
        <v>9859265079</v>
      </c>
      <c r="I39" t="s">
        <v>168</v>
      </c>
      <c r="J39">
        <v>3970</v>
      </c>
      <c r="K39" t="str">
        <f>IF(Table1_1[[#This Row],[Amount]]&gt;=4000,"LARGE ORDER","SMALL ORDER")</f>
        <v>SMALL ORDER</v>
      </c>
      <c r="L39" t="str">
        <f>IF(Table1_1[[#This Row],[Status]]="COMPLETED","REVENUE REALISED","AWAITING COMPLETION")</f>
        <v>AWAITING COMPLETION</v>
      </c>
      <c r="M39" t="s">
        <v>35</v>
      </c>
      <c r="N39" t="s">
        <v>73</v>
      </c>
      <c r="O39" t="s">
        <v>74</v>
      </c>
      <c r="P39" t="s">
        <v>37</v>
      </c>
    </row>
    <row r="40" spans="1:16" x14ac:dyDescent="0.3">
      <c r="A40">
        <v>139</v>
      </c>
      <c r="B40" t="s">
        <v>403</v>
      </c>
      <c r="C40" s="1">
        <v>46095</v>
      </c>
      <c r="D40" s="1">
        <v>46101</v>
      </c>
      <c r="E40" s="1" t="str">
        <f>IF(Table1_1[[#This Row],[TODAYS DATE]]-Table1_1[[#This Row],[Date]]&gt;7,"OLD ORDER","RECENT ORDER")</f>
        <v>RECENT ORDER</v>
      </c>
      <c r="F40" s="2">
        <f>SUMIF(Table1_1[Date],C42,Table1_1[Amount])</f>
        <v>26131</v>
      </c>
      <c r="G40" s="1" t="str">
        <f>IF(WEEKDAY(Table1_1[[#This Row],[Date]])&gt;5,"WEEKEND","WEEKDAY")</f>
        <v>WEEKEND</v>
      </c>
      <c r="H40">
        <v>9263915681</v>
      </c>
      <c r="I40" t="s">
        <v>411</v>
      </c>
      <c r="J40">
        <v>3073</v>
      </c>
      <c r="K40" t="str">
        <f>IF(Table1_1[[#This Row],[Amount]]&gt;=4000,"LARGE ORDER","SMALL ORDER")</f>
        <v>SMALL ORDER</v>
      </c>
      <c r="L40" t="str">
        <f>IF(Table1_1[[#This Row],[Status]]="COMPLETED","REVENUE REALISED","AWAITING COMPLETION")</f>
        <v>REVENUE REALISED</v>
      </c>
      <c r="M40" t="s">
        <v>418</v>
      </c>
      <c r="N40" t="s">
        <v>73</v>
      </c>
      <c r="O40" t="s">
        <v>3</v>
      </c>
      <c r="P40" t="s">
        <v>61</v>
      </c>
    </row>
    <row r="41" spans="1:16" x14ac:dyDescent="0.3">
      <c r="A41">
        <v>140</v>
      </c>
      <c r="B41" t="s">
        <v>138</v>
      </c>
      <c r="C41" s="1">
        <v>46097</v>
      </c>
      <c r="D41" s="1">
        <v>46101</v>
      </c>
      <c r="E41" s="1" t="str">
        <f>IF(Table1_1[[#This Row],[TODAYS DATE]]-Table1_1[[#This Row],[Date]]&gt;7,"OLD ORDER","RECENT ORDER")</f>
        <v>RECENT ORDER</v>
      </c>
      <c r="F41" s="2">
        <f>SUMIF(Table1_1[Date],C43,Table1_1[Amount])</f>
        <v>43430</v>
      </c>
      <c r="G41" s="1" t="str">
        <f>IF(WEEKDAY(Table1_1[[#This Row],[Date]])&gt;5,"WEEKEND","WEEKDAY")</f>
        <v>WEEKDAY</v>
      </c>
      <c r="H41">
        <v>9156822905</v>
      </c>
      <c r="I41" t="s">
        <v>419</v>
      </c>
      <c r="J41">
        <v>4641</v>
      </c>
      <c r="K41" t="str">
        <f>IF(Table1_1[[#This Row],[Amount]]&gt;=4000,"LARGE ORDER","SMALL ORDER")</f>
        <v>LARGE ORDER</v>
      </c>
      <c r="L41" t="str">
        <f>IF(Table1_1[[#This Row],[Status]]="COMPLETED","REVENUE REALISED","AWAITING COMPLETION")</f>
        <v>AWAITING COMPLETION</v>
      </c>
      <c r="M41" t="s">
        <v>86</v>
      </c>
      <c r="N41" t="s">
        <v>53</v>
      </c>
      <c r="O41" t="s">
        <v>3</v>
      </c>
      <c r="P41" t="s">
        <v>136</v>
      </c>
    </row>
    <row r="42" spans="1:16" x14ac:dyDescent="0.3">
      <c r="A42">
        <v>141</v>
      </c>
      <c r="B42" t="s">
        <v>138</v>
      </c>
      <c r="C42" s="1">
        <v>46089</v>
      </c>
      <c r="D42" s="1">
        <v>46101</v>
      </c>
      <c r="E42" s="1" t="str">
        <f>IF(Table1_1[[#This Row],[TODAYS DATE]]-Table1_1[[#This Row],[Date]]&gt;7,"OLD ORDER","RECENT ORDER")</f>
        <v>OLD ORDER</v>
      </c>
      <c r="F42" s="2">
        <f>SUMIF(Table1_1[Date],C44,Table1_1[Amount])</f>
        <v>49955</v>
      </c>
      <c r="G42" s="1" t="str">
        <f>IF(WEEKDAY(Table1_1[[#This Row],[Date]])&gt;5,"WEEKEND","WEEKDAY")</f>
        <v>WEEKDAY</v>
      </c>
      <c r="H42">
        <v>9891611996</v>
      </c>
      <c r="I42" t="s">
        <v>140</v>
      </c>
      <c r="J42">
        <v>5876</v>
      </c>
      <c r="K42" t="str">
        <f>IF(Table1_1[[#This Row],[Amount]]&gt;=4000,"LARGE ORDER","SMALL ORDER")</f>
        <v>LARGE ORDER</v>
      </c>
      <c r="L42" t="str">
        <f>IF(Table1_1[[#This Row],[Status]]="COMPLETED","REVENUE REALISED","AWAITING COMPLETION")</f>
        <v>AWAITING COMPLETION</v>
      </c>
      <c r="M42" t="s">
        <v>52</v>
      </c>
      <c r="N42" t="s">
        <v>73</v>
      </c>
      <c r="O42" t="s">
        <v>18</v>
      </c>
      <c r="P42" t="s">
        <v>37</v>
      </c>
    </row>
    <row r="43" spans="1:16" x14ac:dyDescent="0.3">
      <c r="A43">
        <v>142</v>
      </c>
      <c r="B43" t="s">
        <v>403</v>
      </c>
      <c r="C43" s="1">
        <v>46095</v>
      </c>
      <c r="D43" s="1">
        <v>46101</v>
      </c>
      <c r="E43" s="1" t="str">
        <f>IF(Table1_1[[#This Row],[TODAYS DATE]]-Table1_1[[#This Row],[Date]]&gt;7,"OLD ORDER","RECENT ORDER")</f>
        <v>RECENT ORDER</v>
      </c>
      <c r="F43" s="2">
        <f>SUMIF(Table1_1[Date],C45,Table1_1[Amount])</f>
        <v>26244</v>
      </c>
      <c r="G43" s="1" t="str">
        <f>IF(WEEKDAY(Table1_1[[#This Row],[Date]])&gt;5,"WEEKEND","WEEKDAY")</f>
        <v>WEEKEND</v>
      </c>
      <c r="H43">
        <v>9012677101</v>
      </c>
      <c r="I43" t="s">
        <v>411</v>
      </c>
      <c r="J43">
        <v>1628</v>
      </c>
      <c r="K43" t="str">
        <f>IF(Table1_1[[#This Row],[Amount]]&gt;=4000,"LARGE ORDER","SMALL ORDER")</f>
        <v>SMALL ORDER</v>
      </c>
      <c r="L43" t="str">
        <f>IF(Table1_1[[#This Row],[Status]]="COMPLETED","REVENUE REALISED","AWAITING COMPLETION")</f>
        <v>REVENUE REALISED</v>
      </c>
      <c r="M43" t="s">
        <v>398</v>
      </c>
      <c r="N43" t="s">
        <v>53</v>
      </c>
      <c r="O43" t="s">
        <v>18</v>
      </c>
      <c r="P43" t="s">
        <v>61</v>
      </c>
    </row>
    <row r="44" spans="1:16" x14ac:dyDescent="0.3">
      <c r="A44">
        <v>143</v>
      </c>
      <c r="B44" t="s">
        <v>82</v>
      </c>
      <c r="C44" s="1">
        <v>46092</v>
      </c>
      <c r="D44" s="1">
        <v>46101</v>
      </c>
      <c r="E44" s="1" t="str">
        <f>IF(Table1_1[[#This Row],[TODAYS DATE]]-Table1_1[[#This Row],[Date]]&gt;7,"OLD ORDER","RECENT ORDER")</f>
        <v>OLD ORDER</v>
      </c>
      <c r="F44" s="2">
        <f>SUMIF(Table1_1[Date],C46,Table1_1[Amount])</f>
        <v>49955</v>
      </c>
      <c r="G44" s="1" t="str">
        <f>IF(WEEKDAY(Table1_1[[#This Row],[Date]])&gt;5,"WEEKEND","WEEKDAY")</f>
        <v>WEEKDAY</v>
      </c>
      <c r="H44">
        <v>9225284756</v>
      </c>
      <c r="I44" t="s">
        <v>410</v>
      </c>
      <c r="J44">
        <v>1698</v>
      </c>
      <c r="K44" t="str">
        <f>IF(Table1_1[[#This Row],[Amount]]&gt;=4000,"LARGE ORDER","SMALL ORDER")</f>
        <v>SMALL ORDER</v>
      </c>
      <c r="L44" t="str">
        <f>IF(Table1_1[[#This Row],[Status]]="COMPLETED","REVENUE REALISED","AWAITING COMPLETION")</f>
        <v>REVENUE REALISED</v>
      </c>
      <c r="M44" t="s">
        <v>86</v>
      </c>
      <c r="N44" t="s">
        <v>53</v>
      </c>
      <c r="O44" t="s">
        <v>74</v>
      </c>
      <c r="P44" t="s">
        <v>61</v>
      </c>
    </row>
    <row r="45" spans="1:16" x14ac:dyDescent="0.3">
      <c r="A45">
        <v>144</v>
      </c>
      <c r="B45" t="s">
        <v>412</v>
      </c>
      <c r="C45" s="1">
        <v>46096</v>
      </c>
      <c r="D45" s="1">
        <v>46101</v>
      </c>
      <c r="E45" s="1" t="str">
        <f>IF(Table1_1[[#This Row],[TODAYS DATE]]-Table1_1[[#This Row],[Date]]&gt;7,"OLD ORDER","RECENT ORDER")</f>
        <v>RECENT ORDER</v>
      </c>
      <c r="F45" s="2">
        <f>SUMIF(Table1_1[Date],C47,Table1_1[Amount])</f>
        <v>26131</v>
      </c>
      <c r="G45" s="1" t="str">
        <f>IF(WEEKDAY(Table1_1[[#This Row],[Date]])&gt;5,"WEEKEND","WEEKDAY")</f>
        <v>WEEKDAY</v>
      </c>
      <c r="H45">
        <v>9869353</v>
      </c>
      <c r="I45" t="s">
        <v>168</v>
      </c>
      <c r="J45">
        <v>1112</v>
      </c>
      <c r="K45" t="str">
        <f>IF(Table1_1[[#This Row],[Amount]]&gt;=4000,"LARGE ORDER","SMALL ORDER")</f>
        <v>SMALL ORDER</v>
      </c>
      <c r="L45" t="str">
        <f>IF(Table1_1[[#This Row],[Status]]="COMPLETED","REVENUE REALISED","AWAITING COMPLETION")</f>
        <v>REVENUE REALISED</v>
      </c>
      <c r="M45" t="s">
        <v>418</v>
      </c>
      <c r="N45" t="s">
        <v>53</v>
      </c>
      <c r="O45" t="s">
        <v>3</v>
      </c>
      <c r="P45" t="s">
        <v>61</v>
      </c>
    </row>
    <row r="46" spans="1:16" x14ac:dyDescent="0.3">
      <c r="A46">
        <v>145</v>
      </c>
      <c r="B46" t="s">
        <v>401</v>
      </c>
      <c r="C46" s="1">
        <v>46092</v>
      </c>
      <c r="D46" s="1">
        <v>46101</v>
      </c>
      <c r="E46" s="1" t="str">
        <f>IF(Table1_1[[#This Row],[TODAYS DATE]]-Table1_1[[#This Row],[Date]]&gt;7,"OLD ORDER","RECENT ORDER")</f>
        <v>OLD ORDER</v>
      </c>
      <c r="F46" s="2">
        <f>SUMIF(Table1_1[Date],C48,Table1_1[Amount])</f>
        <v>49955</v>
      </c>
      <c r="G46" s="1" t="str">
        <f>IF(WEEKDAY(Table1_1[[#This Row],[Date]])&gt;5,"WEEKEND","WEEKDAY")</f>
        <v>WEEKDAY</v>
      </c>
      <c r="H46">
        <v>9805601</v>
      </c>
      <c r="I46" t="s">
        <v>221</v>
      </c>
      <c r="J46">
        <v>3852</v>
      </c>
      <c r="K46" t="str">
        <f>IF(Table1_1[[#This Row],[Amount]]&gt;=4000,"LARGE ORDER","SMALL ORDER")</f>
        <v>SMALL ORDER</v>
      </c>
      <c r="L46" t="str">
        <f>IF(Table1_1[[#This Row],[Status]]="COMPLETED","REVENUE REALISED","AWAITING COMPLETION")</f>
        <v>REVENUE REALISED</v>
      </c>
      <c r="M46" t="s">
        <v>114</v>
      </c>
      <c r="N46" t="s">
        <v>53</v>
      </c>
      <c r="O46" t="s">
        <v>98</v>
      </c>
      <c r="P46" t="s">
        <v>61</v>
      </c>
    </row>
    <row r="47" spans="1:16" x14ac:dyDescent="0.3">
      <c r="A47">
        <v>146</v>
      </c>
      <c r="B47" t="s">
        <v>138</v>
      </c>
      <c r="C47" s="1">
        <v>46089</v>
      </c>
      <c r="D47" s="1">
        <v>46101</v>
      </c>
      <c r="E47" s="1" t="str">
        <f>IF(Table1_1[[#This Row],[TODAYS DATE]]-Table1_1[[#This Row],[Date]]&gt;7,"OLD ORDER","RECENT ORDER")</f>
        <v>OLD ORDER</v>
      </c>
      <c r="F47" s="2">
        <f>SUMIF(Table1_1[Date],C49,Table1_1[Amount])</f>
        <v>26244</v>
      </c>
      <c r="G47" s="1" t="str">
        <f>IF(WEEKDAY(Table1_1[[#This Row],[Date]])&gt;5,"WEEKEND","WEEKDAY")</f>
        <v>WEEKDAY</v>
      </c>
      <c r="H47">
        <v>9109926</v>
      </c>
      <c r="I47" t="s">
        <v>140</v>
      </c>
      <c r="J47">
        <v>1207</v>
      </c>
      <c r="K47" t="str">
        <f>IF(Table1_1[[#This Row],[Amount]]&gt;=4000,"LARGE ORDER","SMALL ORDER")</f>
        <v>SMALL ORDER</v>
      </c>
      <c r="L47" t="str">
        <f>IF(Table1_1[[#This Row],[Status]]="COMPLETED","REVENUE REALISED","AWAITING COMPLETION")</f>
        <v>AWAITING COMPLETION</v>
      </c>
      <c r="M47" t="s">
        <v>114</v>
      </c>
      <c r="N47" t="s">
        <v>53</v>
      </c>
      <c r="O47" t="s">
        <v>98</v>
      </c>
      <c r="P47" t="s">
        <v>37</v>
      </c>
    </row>
    <row r="48" spans="1:16" x14ac:dyDescent="0.3">
      <c r="A48">
        <v>147</v>
      </c>
      <c r="B48" t="s">
        <v>21</v>
      </c>
      <c r="C48" s="1">
        <v>46092</v>
      </c>
      <c r="D48" s="1">
        <v>46101</v>
      </c>
      <c r="E48" s="1" t="str">
        <f>IF(Table1_1[[#This Row],[TODAYS DATE]]-Table1_1[[#This Row],[Date]]&gt;7,"OLD ORDER","RECENT ORDER")</f>
        <v>OLD ORDER</v>
      </c>
      <c r="F48" s="2">
        <f>SUMIF(Table1_1[Date],C50,Table1_1[Amount])</f>
        <v>49955</v>
      </c>
      <c r="G48" s="1" t="str">
        <f>IF(WEEKDAY(Table1_1[[#This Row],[Date]])&gt;5,"WEEKEND","WEEKDAY")</f>
        <v>WEEKDAY</v>
      </c>
      <c r="H48">
        <v>9438339</v>
      </c>
      <c r="I48" t="s">
        <v>404</v>
      </c>
      <c r="J48">
        <v>4880</v>
      </c>
      <c r="K48" t="str">
        <f>IF(Table1_1[[#This Row],[Amount]]&gt;=4000,"LARGE ORDER","SMALL ORDER")</f>
        <v>LARGE ORDER</v>
      </c>
      <c r="L48" t="str">
        <f>IF(Table1_1[[#This Row],[Status]]="COMPLETED","REVENUE REALISED","AWAITING COMPLETION")</f>
        <v>AWAITING COMPLETION</v>
      </c>
      <c r="M48" t="s">
        <v>52</v>
      </c>
      <c r="N48" t="s">
        <v>73</v>
      </c>
      <c r="O48" t="s">
        <v>18</v>
      </c>
      <c r="P48" t="s">
        <v>37</v>
      </c>
    </row>
    <row r="49" spans="1:16" x14ac:dyDescent="0.3">
      <c r="A49">
        <v>148</v>
      </c>
      <c r="B49" t="s">
        <v>397</v>
      </c>
      <c r="C49" s="1">
        <v>46096</v>
      </c>
      <c r="D49" s="1">
        <v>46101</v>
      </c>
      <c r="E49" s="1" t="str">
        <f>IF(Table1_1[[#This Row],[TODAYS DATE]]-Table1_1[[#This Row],[Date]]&gt;7,"OLD ORDER","RECENT ORDER")</f>
        <v>RECENT ORDER</v>
      </c>
      <c r="F49" s="2">
        <f>SUMIF(Table1_1[Date],C51,Table1_1[Amount])</f>
        <v>43430</v>
      </c>
      <c r="G49" s="1" t="str">
        <f>IF(WEEKDAY(Table1_1[[#This Row],[Date]])&gt;5,"WEEKEND","WEEKDAY")</f>
        <v>WEEKDAY</v>
      </c>
      <c r="H49">
        <v>9524842042</v>
      </c>
      <c r="I49" t="s">
        <v>172</v>
      </c>
      <c r="J49">
        <v>1528</v>
      </c>
      <c r="K49" t="str">
        <f>IF(Table1_1[[#This Row],[Amount]]&gt;=4000,"LARGE ORDER","SMALL ORDER")</f>
        <v>SMALL ORDER</v>
      </c>
      <c r="L49" t="str">
        <f>IF(Table1_1[[#This Row],[Status]]="COMPLETED","REVENUE REALISED","AWAITING COMPLETION")</f>
        <v>AWAITING COMPLETION</v>
      </c>
      <c r="M49" t="s">
        <v>407</v>
      </c>
      <c r="N49" t="s">
        <v>53</v>
      </c>
      <c r="O49" t="s">
        <v>74</v>
      </c>
      <c r="P49" t="s">
        <v>37</v>
      </c>
    </row>
    <row r="50" spans="1:16" x14ac:dyDescent="0.3">
      <c r="A50">
        <v>149</v>
      </c>
      <c r="B50" t="s">
        <v>397</v>
      </c>
      <c r="C50" s="1">
        <v>46092</v>
      </c>
      <c r="D50" s="1">
        <v>46101</v>
      </c>
      <c r="E50" s="1" t="str">
        <f>IF(Table1_1[[#This Row],[TODAYS DATE]]-Table1_1[[#This Row],[Date]]&gt;7,"OLD ORDER","RECENT ORDER")</f>
        <v>OLD ORDER</v>
      </c>
      <c r="F50" s="2">
        <f>SUMIF(Table1_1[Date],C52,Table1_1[Amount])</f>
        <v>43430</v>
      </c>
      <c r="G50" s="1" t="str">
        <f>IF(WEEKDAY(Table1_1[[#This Row],[Date]])&gt;5,"WEEKEND","WEEKDAY")</f>
        <v>WEEKDAY</v>
      </c>
      <c r="H50">
        <v>903145191</v>
      </c>
      <c r="I50" t="s">
        <v>172</v>
      </c>
      <c r="J50">
        <v>5787</v>
      </c>
      <c r="K50" t="str">
        <f>IF(Table1_1[[#This Row],[Amount]]&gt;=4000,"LARGE ORDER","SMALL ORDER")</f>
        <v>LARGE ORDER</v>
      </c>
      <c r="L50" t="str">
        <f>IF(Table1_1[[#This Row],[Status]]="COMPLETED","REVENUE REALISED","AWAITING COMPLETION")</f>
        <v>AWAITING COMPLETION</v>
      </c>
      <c r="M50" t="s">
        <v>86</v>
      </c>
      <c r="N50" t="s">
        <v>73</v>
      </c>
      <c r="O50" t="s">
        <v>3</v>
      </c>
      <c r="P50" t="s">
        <v>136</v>
      </c>
    </row>
    <row r="51" spans="1:16" x14ac:dyDescent="0.3">
      <c r="A51">
        <v>150</v>
      </c>
      <c r="B51" t="s">
        <v>403</v>
      </c>
      <c r="C51" s="1">
        <v>46095</v>
      </c>
      <c r="D51" s="1">
        <v>46101</v>
      </c>
      <c r="E51" s="1" t="str">
        <f>IF(Table1_1[[#This Row],[TODAYS DATE]]-Table1_1[[#This Row],[Date]]&gt;7,"OLD ORDER","RECENT ORDER")</f>
        <v>RECENT ORDER</v>
      </c>
      <c r="F51" s="2">
        <f>SUMIF(Table1_1[Date],C53,Table1_1[Amount])</f>
        <v>20829</v>
      </c>
      <c r="G51" s="1" t="str">
        <f>IF(WEEKDAY(Table1_1[[#This Row],[Date]])&gt;5,"WEEKEND","WEEKDAY")</f>
        <v>WEEKEND</v>
      </c>
      <c r="H51">
        <v>9506620655</v>
      </c>
      <c r="I51" t="s">
        <v>50</v>
      </c>
      <c r="J51">
        <v>3569</v>
      </c>
      <c r="K51" t="str">
        <f>IF(Table1_1[[#This Row],[Amount]]&gt;=4000,"LARGE ORDER","SMALL ORDER")</f>
        <v>SMALL ORDER</v>
      </c>
      <c r="L51" t="str">
        <f>IF(Table1_1[[#This Row],[Status]]="COMPLETED","REVENUE REALISED","AWAITING COMPLETION")</f>
        <v>REVENUE REALISED</v>
      </c>
      <c r="M51" t="s">
        <v>86</v>
      </c>
      <c r="N51" t="s">
        <v>409</v>
      </c>
      <c r="O51" t="s">
        <v>74</v>
      </c>
      <c r="P51" t="s">
        <v>61</v>
      </c>
    </row>
    <row r="52" spans="1:16" x14ac:dyDescent="0.3">
      <c r="A52">
        <v>151</v>
      </c>
      <c r="B52" t="s">
        <v>401</v>
      </c>
      <c r="C52" s="1">
        <v>46095</v>
      </c>
      <c r="D52" s="1">
        <v>46101</v>
      </c>
      <c r="E52" s="1" t="str">
        <f>IF(Table1_1[[#This Row],[TODAYS DATE]]-Table1_1[[#This Row],[Date]]&gt;7,"OLD ORDER","RECENT ORDER")</f>
        <v>RECENT ORDER</v>
      </c>
      <c r="F52" s="2">
        <f>SUMIF(Table1_1[Date],C54,Table1_1[Amount])</f>
        <v>49955</v>
      </c>
      <c r="G52" s="1" t="str">
        <f>IF(WEEKDAY(Table1_1[[#This Row],[Date]])&gt;5,"WEEKEND","WEEKDAY")</f>
        <v>WEEKEND</v>
      </c>
      <c r="H52">
        <v>9386610</v>
      </c>
      <c r="I52" t="s">
        <v>221</v>
      </c>
      <c r="J52">
        <v>3625</v>
      </c>
      <c r="K52" t="str">
        <f>IF(Table1_1[[#This Row],[Amount]]&gt;=4000,"LARGE ORDER","SMALL ORDER")</f>
        <v>SMALL ORDER</v>
      </c>
      <c r="L52" t="str">
        <f>IF(Table1_1[[#This Row],[Status]]="COMPLETED","REVENUE REALISED","AWAITING COMPLETION")</f>
        <v>AWAITING COMPLETION</v>
      </c>
      <c r="M52" t="s">
        <v>35</v>
      </c>
      <c r="N52" t="s">
        <v>53</v>
      </c>
      <c r="O52" t="s">
        <v>3</v>
      </c>
      <c r="P52" t="s">
        <v>37</v>
      </c>
    </row>
    <row r="53" spans="1:16" x14ac:dyDescent="0.3">
      <c r="A53">
        <v>152</v>
      </c>
      <c r="B53" t="s">
        <v>397</v>
      </c>
      <c r="C53" s="1">
        <v>46094</v>
      </c>
      <c r="D53" s="1">
        <v>46101</v>
      </c>
      <c r="E53" s="1" t="str">
        <f>IF(Table1_1[[#This Row],[TODAYS DATE]]-Table1_1[[#This Row],[Date]]&gt;7,"OLD ORDER","RECENT ORDER")</f>
        <v>RECENT ORDER</v>
      </c>
      <c r="F53" s="2">
        <f>SUMIF(Table1_1[Date],C55,Table1_1[Amount])</f>
        <v>49303</v>
      </c>
      <c r="G53" s="1" t="str">
        <f>IF(WEEKDAY(Table1_1[[#This Row],[Date]])&gt;5,"WEEKEND","WEEKDAY")</f>
        <v>WEEKEND</v>
      </c>
      <c r="H53">
        <v>9890682062</v>
      </c>
      <c r="I53" t="s">
        <v>172</v>
      </c>
      <c r="J53">
        <v>3493</v>
      </c>
      <c r="K53" t="str">
        <f>IF(Table1_1[[#This Row],[Amount]]&gt;=4000,"LARGE ORDER","SMALL ORDER")</f>
        <v>SMALL ORDER</v>
      </c>
      <c r="L53" t="str">
        <f>IF(Table1_1[[#This Row],[Status]]="COMPLETED","REVENUE REALISED","AWAITING COMPLETION")</f>
        <v>REVENUE REALISED</v>
      </c>
      <c r="M53" t="s">
        <v>398</v>
      </c>
      <c r="N53" t="s">
        <v>53</v>
      </c>
      <c r="O53" t="s">
        <v>3</v>
      </c>
      <c r="P53" t="s">
        <v>61</v>
      </c>
    </row>
    <row r="54" spans="1:16" x14ac:dyDescent="0.3">
      <c r="A54">
        <v>153</v>
      </c>
      <c r="B54" t="s">
        <v>401</v>
      </c>
      <c r="C54" s="1">
        <v>46092</v>
      </c>
      <c r="D54" s="1">
        <v>46101</v>
      </c>
      <c r="E54" s="1" t="str">
        <f>IF(Table1_1[[#This Row],[TODAYS DATE]]-Table1_1[[#This Row],[Date]]&gt;7,"OLD ORDER","RECENT ORDER")</f>
        <v>OLD ORDER</v>
      </c>
      <c r="F54" s="2">
        <f>SUMIF(Table1_1[Date],C56,Table1_1[Amount])</f>
        <v>49955</v>
      </c>
      <c r="G54" s="1" t="str">
        <f>IF(WEEKDAY(Table1_1[[#This Row],[Date]])&gt;5,"WEEKEND","WEEKDAY")</f>
        <v>WEEKDAY</v>
      </c>
      <c r="H54">
        <v>9389815662</v>
      </c>
      <c r="I54" t="s">
        <v>402</v>
      </c>
      <c r="J54">
        <v>4040</v>
      </c>
      <c r="K54" t="str">
        <f>IF(Table1_1[[#This Row],[Amount]]&gt;=4000,"LARGE ORDER","SMALL ORDER")</f>
        <v>LARGE ORDER</v>
      </c>
      <c r="L54" t="str">
        <f>IF(Table1_1[[#This Row],[Status]]="COMPLETED","REVENUE REALISED","AWAITING COMPLETION")</f>
        <v>AWAITING COMPLETION</v>
      </c>
      <c r="M54" t="s">
        <v>414</v>
      </c>
      <c r="N54" t="s">
        <v>73</v>
      </c>
      <c r="O54" t="s">
        <v>3</v>
      </c>
      <c r="P54" t="s">
        <v>136</v>
      </c>
    </row>
    <row r="55" spans="1:16" x14ac:dyDescent="0.3">
      <c r="A55">
        <v>154</v>
      </c>
      <c r="B55" t="s">
        <v>401</v>
      </c>
      <c r="C55" s="1">
        <v>46091</v>
      </c>
      <c r="D55" s="1">
        <v>46101</v>
      </c>
      <c r="E55" s="1" t="str">
        <f>IF(Table1_1[[#This Row],[TODAYS DATE]]-Table1_1[[#This Row],[Date]]&gt;7,"OLD ORDER","RECENT ORDER")</f>
        <v>OLD ORDER</v>
      </c>
      <c r="F55" s="2">
        <f>SUMIF(Table1_1[Date],C57,Table1_1[Amount])</f>
        <v>33875</v>
      </c>
      <c r="G55" s="1" t="str">
        <f>IF(WEEKDAY(Table1_1[[#This Row],[Date]])&gt;5,"WEEKEND","WEEKDAY")</f>
        <v>WEEKDAY</v>
      </c>
      <c r="H55">
        <v>9267138230</v>
      </c>
      <c r="I55" t="s">
        <v>221</v>
      </c>
      <c r="J55">
        <v>3859</v>
      </c>
      <c r="K55" t="str">
        <f>IF(Table1_1[[#This Row],[Amount]]&gt;=4000,"LARGE ORDER","SMALL ORDER")</f>
        <v>SMALL ORDER</v>
      </c>
      <c r="L55" t="str">
        <f>IF(Table1_1[[#This Row],[Status]]="COMPLETED","REVENUE REALISED","AWAITING COMPLETION")</f>
        <v>REVENUE REALISED</v>
      </c>
      <c r="M55" t="s">
        <v>26</v>
      </c>
      <c r="N55" t="s">
        <v>53</v>
      </c>
      <c r="O55" t="s">
        <v>18</v>
      </c>
      <c r="P55" t="s">
        <v>61</v>
      </c>
    </row>
    <row r="56" spans="1:16" x14ac:dyDescent="0.3">
      <c r="A56">
        <v>155</v>
      </c>
      <c r="B56" t="s">
        <v>415</v>
      </c>
      <c r="C56" s="1">
        <v>46092</v>
      </c>
      <c r="D56" s="1">
        <v>46101</v>
      </c>
      <c r="E56" s="1" t="str">
        <f>IF(Table1_1[[#This Row],[TODAYS DATE]]-Table1_1[[#This Row],[Date]]&gt;7,"OLD ORDER","RECENT ORDER")</f>
        <v>OLD ORDER</v>
      </c>
      <c r="F56" s="2">
        <f>SUMIF(Table1_1[Date],C58,Table1_1[Amount])</f>
        <v>20829</v>
      </c>
      <c r="G56" s="1" t="str">
        <f>IF(WEEKDAY(Table1_1[[#This Row],[Date]])&gt;5,"WEEKEND","WEEKDAY")</f>
        <v>WEEKDAY</v>
      </c>
      <c r="H56">
        <v>929144428</v>
      </c>
      <c r="I56" t="s">
        <v>420</v>
      </c>
      <c r="J56">
        <v>4469</v>
      </c>
      <c r="K56" t="str">
        <f>IF(Table1_1[[#This Row],[Amount]]&gt;=4000,"LARGE ORDER","SMALL ORDER")</f>
        <v>LARGE ORDER</v>
      </c>
      <c r="L56" t="str">
        <f>IF(Table1_1[[#This Row],[Status]]="COMPLETED","REVENUE REALISED","AWAITING COMPLETION")</f>
        <v>AWAITING COMPLETION</v>
      </c>
      <c r="M56" t="s">
        <v>35</v>
      </c>
      <c r="N56" t="s">
        <v>73</v>
      </c>
      <c r="O56" t="s">
        <v>18</v>
      </c>
      <c r="P56" t="s">
        <v>37</v>
      </c>
    </row>
    <row r="57" spans="1:16" x14ac:dyDescent="0.3">
      <c r="A57">
        <v>156</v>
      </c>
      <c r="B57" t="s">
        <v>397</v>
      </c>
      <c r="C57" s="1">
        <v>46088</v>
      </c>
      <c r="D57" s="1">
        <v>46101</v>
      </c>
      <c r="E57" s="1" t="str">
        <f>IF(Table1_1[[#This Row],[TODAYS DATE]]-Table1_1[[#This Row],[Date]]&gt;7,"OLD ORDER","RECENT ORDER")</f>
        <v>OLD ORDER</v>
      </c>
      <c r="F57" s="2">
        <f>SUMIF(Table1_1[Date],C59,Table1_1[Amount])</f>
        <v>40941</v>
      </c>
      <c r="G57" s="1" t="str">
        <f>IF(WEEKDAY(Table1_1[[#This Row],[Date]])&gt;5,"WEEKEND","WEEKDAY")</f>
        <v>WEEKEND</v>
      </c>
      <c r="H57">
        <v>9154731027</v>
      </c>
      <c r="I57" t="s">
        <v>406</v>
      </c>
      <c r="J57">
        <v>2501</v>
      </c>
      <c r="K57" t="str">
        <f>IF(Table1_1[[#This Row],[Amount]]&gt;=4000,"LARGE ORDER","SMALL ORDER")</f>
        <v>SMALL ORDER</v>
      </c>
      <c r="L57" t="str">
        <f>IF(Table1_1[[#This Row],[Status]]="COMPLETED","REVENUE REALISED","AWAITING COMPLETION")</f>
        <v>REVENUE REALISED</v>
      </c>
      <c r="M57" t="s">
        <v>407</v>
      </c>
      <c r="N57" t="s">
        <v>53</v>
      </c>
      <c r="O57" t="s">
        <v>74</v>
      </c>
      <c r="P57" t="s">
        <v>61</v>
      </c>
    </row>
    <row r="58" spans="1:16" x14ac:dyDescent="0.3">
      <c r="A58">
        <v>157</v>
      </c>
      <c r="B58" t="s">
        <v>82</v>
      </c>
      <c r="C58" s="1">
        <v>46094</v>
      </c>
      <c r="D58" s="1">
        <v>46101</v>
      </c>
      <c r="E58" s="1" t="str">
        <f>IF(Table1_1[[#This Row],[TODAYS DATE]]-Table1_1[[#This Row],[Date]]&gt;7,"OLD ORDER","RECENT ORDER")</f>
        <v>RECENT ORDER</v>
      </c>
      <c r="F58" s="2">
        <f>SUMIF(Table1_1[Date],C60,Table1_1[Amount])</f>
        <v>33875</v>
      </c>
      <c r="G58" s="1" t="str">
        <f>IF(WEEKDAY(Table1_1[[#This Row],[Date]])&gt;5,"WEEKEND","WEEKDAY")</f>
        <v>WEEKEND</v>
      </c>
      <c r="H58">
        <v>9153895</v>
      </c>
      <c r="I58" t="s">
        <v>410</v>
      </c>
      <c r="J58">
        <v>3837</v>
      </c>
      <c r="K58" t="str">
        <f>IF(Table1_1[[#This Row],[Amount]]&gt;=4000,"LARGE ORDER","SMALL ORDER")</f>
        <v>SMALL ORDER</v>
      </c>
      <c r="L58" t="str">
        <f>IF(Table1_1[[#This Row],[Status]]="COMPLETED","REVENUE REALISED","AWAITING COMPLETION")</f>
        <v>REVENUE REALISED</v>
      </c>
      <c r="M58" t="s">
        <v>405</v>
      </c>
      <c r="N58" t="s">
        <v>53</v>
      </c>
      <c r="O58" t="s">
        <v>74</v>
      </c>
      <c r="P58" t="s">
        <v>61</v>
      </c>
    </row>
    <row r="59" spans="1:16" x14ac:dyDescent="0.3">
      <c r="A59">
        <v>158</v>
      </c>
      <c r="B59" t="s">
        <v>21</v>
      </c>
      <c r="C59" s="1">
        <v>46090</v>
      </c>
      <c r="D59" s="1">
        <v>46101</v>
      </c>
      <c r="E59" s="1" t="str">
        <f>IF(Table1_1[[#This Row],[TODAYS DATE]]-Table1_1[[#This Row],[Date]]&gt;7,"OLD ORDER","RECENT ORDER")</f>
        <v>OLD ORDER</v>
      </c>
      <c r="F59" s="2">
        <f>SUMIF(Table1_1[Date],C61,Table1_1[Amount])</f>
        <v>26131</v>
      </c>
      <c r="G59" s="1" t="str">
        <f>IF(WEEKDAY(Table1_1[[#This Row],[Date]])&gt;5,"WEEKEND","WEEKDAY")</f>
        <v>WEEKDAY</v>
      </c>
      <c r="H59">
        <v>9744320428</v>
      </c>
      <c r="I59" t="s">
        <v>404</v>
      </c>
      <c r="J59">
        <v>3912</v>
      </c>
      <c r="K59" t="str">
        <f>IF(Table1_1[[#This Row],[Amount]]&gt;=4000,"LARGE ORDER","SMALL ORDER")</f>
        <v>SMALL ORDER</v>
      </c>
      <c r="L59" t="str">
        <f>IF(Table1_1[[#This Row],[Status]]="COMPLETED","REVENUE REALISED","AWAITING COMPLETION")</f>
        <v>AWAITING COMPLETION</v>
      </c>
      <c r="M59" t="s">
        <v>405</v>
      </c>
      <c r="N59" t="s">
        <v>53</v>
      </c>
      <c r="O59" t="s">
        <v>18</v>
      </c>
      <c r="P59" t="s">
        <v>37</v>
      </c>
    </row>
    <row r="60" spans="1:16" x14ac:dyDescent="0.3">
      <c r="A60">
        <v>159</v>
      </c>
      <c r="B60" t="s">
        <v>138</v>
      </c>
      <c r="C60" s="1">
        <v>46088</v>
      </c>
      <c r="D60" s="1">
        <v>46101</v>
      </c>
      <c r="E60" s="1" t="str">
        <f>IF(Table1_1[[#This Row],[TODAYS DATE]]-Table1_1[[#This Row],[Date]]&gt;7,"OLD ORDER","RECENT ORDER")</f>
        <v>OLD ORDER</v>
      </c>
      <c r="F60" s="2">
        <f>SUMIF(Table1_1[Date],C62,Table1_1[Amount])</f>
        <v>49303</v>
      </c>
      <c r="G60" s="1" t="str">
        <f>IF(WEEKDAY(Table1_1[[#This Row],[Date]])&gt;5,"WEEKEND","WEEKDAY")</f>
        <v>WEEKEND</v>
      </c>
      <c r="H60">
        <v>9153330970</v>
      </c>
      <c r="I60" t="s">
        <v>140</v>
      </c>
      <c r="J60">
        <v>3306</v>
      </c>
      <c r="K60" t="str">
        <f>IF(Table1_1[[#This Row],[Amount]]&gt;=4000,"LARGE ORDER","SMALL ORDER")</f>
        <v>SMALL ORDER</v>
      </c>
      <c r="L60" t="str">
        <f>IF(Table1_1[[#This Row],[Status]]="COMPLETED","REVENUE REALISED","AWAITING COMPLETION")</f>
        <v>REVENUE REALISED</v>
      </c>
      <c r="M60" t="s">
        <v>414</v>
      </c>
      <c r="N60" t="s">
        <v>53</v>
      </c>
      <c r="O60" t="s">
        <v>74</v>
      </c>
      <c r="P60" t="s">
        <v>61</v>
      </c>
    </row>
    <row r="61" spans="1:16" x14ac:dyDescent="0.3">
      <c r="A61">
        <v>160</v>
      </c>
      <c r="B61" t="s">
        <v>82</v>
      </c>
      <c r="C61" s="1">
        <v>46089</v>
      </c>
      <c r="D61" s="1">
        <v>46101</v>
      </c>
      <c r="E61" s="1" t="str">
        <f>IF(Table1_1[[#This Row],[TODAYS DATE]]-Table1_1[[#This Row],[Date]]&gt;7,"OLD ORDER","RECENT ORDER")</f>
        <v>OLD ORDER</v>
      </c>
      <c r="F61" s="2">
        <f>SUMIF(Table1_1[Date],C63,Table1_1[Amount])</f>
        <v>26131</v>
      </c>
      <c r="G61" s="1" t="str">
        <f>IF(WEEKDAY(Table1_1[[#This Row],[Date]])&gt;5,"WEEKEND","WEEKDAY")</f>
        <v>WEEKDAY</v>
      </c>
      <c r="H61">
        <v>9532351903</v>
      </c>
      <c r="I61" t="s">
        <v>292</v>
      </c>
      <c r="J61">
        <v>4193</v>
      </c>
      <c r="K61" t="str">
        <f>IF(Table1_1[[#This Row],[Amount]]&gt;=4000,"LARGE ORDER","SMALL ORDER")</f>
        <v>LARGE ORDER</v>
      </c>
      <c r="L61" t="str">
        <f>IF(Table1_1[[#This Row],[Status]]="COMPLETED","REVENUE REALISED","AWAITING COMPLETION")</f>
        <v>REVENUE REALISED</v>
      </c>
      <c r="M61" t="s">
        <v>398</v>
      </c>
      <c r="N61" t="s">
        <v>53</v>
      </c>
      <c r="O61" t="s">
        <v>3</v>
      </c>
      <c r="P61" t="s">
        <v>61</v>
      </c>
    </row>
    <row r="62" spans="1:16" x14ac:dyDescent="0.3">
      <c r="A62">
        <v>161</v>
      </c>
      <c r="B62" t="s">
        <v>416</v>
      </c>
      <c r="C62" s="1">
        <v>46091</v>
      </c>
      <c r="D62" s="1">
        <v>46101</v>
      </c>
      <c r="E62" s="1" t="str">
        <f>IF(Table1_1[[#This Row],[TODAYS DATE]]-Table1_1[[#This Row],[Date]]&gt;7,"OLD ORDER","RECENT ORDER")</f>
        <v>OLD ORDER</v>
      </c>
      <c r="F62" s="2">
        <f>SUMIF(Table1_1[Date],C64,Table1_1[Amount])</f>
        <v>33875</v>
      </c>
      <c r="G62" s="1" t="str">
        <f>IF(WEEKDAY(Table1_1[[#This Row],[Date]])&gt;5,"WEEKEND","WEEKDAY")</f>
        <v>WEEKDAY</v>
      </c>
      <c r="H62">
        <v>9105888</v>
      </c>
      <c r="I62" t="s">
        <v>417</v>
      </c>
      <c r="J62">
        <v>2459</v>
      </c>
      <c r="K62" t="str">
        <f>IF(Table1_1[[#This Row],[Amount]]&gt;=4000,"LARGE ORDER","SMALL ORDER")</f>
        <v>SMALL ORDER</v>
      </c>
      <c r="L62" t="str">
        <f>IF(Table1_1[[#This Row],[Status]]="COMPLETED","REVENUE REALISED","AWAITING COMPLETION")</f>
        <v>REVENUE REALISED</v>
      </c>
      <c r="M62" t="s">
        <v>407</v>
      </c>
      <c r="N62" t="s">
        <v>53</v>
      </c>
      <c r="O62" t="s">
        <v>18</v>
      </c>
      <c r="P62" t="s">
        <v>61</v>
      </c>
    </row>
    <row r="63" spans="1:16" x14ac:dyDescent="0.3">
      <c r="A63">
        <v>162</v>
      </c>
      <c r="B63" t="s">
        <v>412</v>
      </c>
      <c r="C63" s="1">
        <v>46089</v>
      </c>
      <c r="D63" s="1">
        <v>46101</v>
      </c>
      <c r="E63" s="1" t="str">
        <f>IF(Table1_1[[#This Row],[TODAYS DATE]]-Table1_1[[#This Row],[Date]]&gt;7,"OLD ORDER","RECENT ORDER")</f>
        <v>OLD ORDER</v>
      </c>
      <c r="F63" s="2">
        <f>SUMIF(Table1_1[Date],C65,Table1_1[Amount])</f>
        <v>40941</v>
      </c>
      <c r="G63" s="1" t="str">
        <f>IF(WEEKDAY(Table1_1[[#This Row],[Date]])&gt;5,"WEEKEND","WEEKDAY")</f>
        <v>WEEKDAY</v>
      </c>
      <c r="H63">
        <v>9515621272</v>
      </c>
      <c r="I63" t="s">
        <v>413</v>
      </c>
      <c r="J63">
        <v>3148</v>
      </c>
      <c r="K63" t="str">
        <f>IF(Table1_1[[#This Row],[Amount]]&gt;=4000,"LARGE ORDER","SMALL ORDER")</f>
        <v>SMALL ORDER</v>
      </c>
      <c r="L63" t="str">
        <f>IF(Table1_1[[#This Row],[Status]]="COMPLETED","REVENUE REALISED","AWAITING COMPLETION")</f>
        <v>AWAITING COMPLETION</v>
      </c>
      <c r="M63" t="s">
        <v>418</v>
      </c>
      <c r="N63" t="s">
        <v>73</v>
      </c>
      <c r="O63" t="s">
        <v>3</v>
      </c>
      <c r="P63" t="s">
        <v>136</v>
      </c>
    </row>
    <row r="64" spans="1:16" x14ac:dyDescent="0.3">
      <c r="A64">
        <v>163</v>
      </c>
      <c r="B64" t="s">
        <v>401</v>
      </c>
      <c r="C64" s="1">
        <v>46088</v>
      </c>
      <c r="D64" s="1">
        <v>46101</v>
      </c>
      <c r="E64" s="1" t="str">
        <f>IF(Table1_1[[#This Row],[TODAYS DATE]]-Table1_1[[#This Row],[Date]]&gt;7,"OLD ORDER","RECENT ORDER")</f>
        <v>OLD ORDER</v>
      </c>
      <c r="F64" s="2">
        <f>SUMIF(Table1_1[Date],C66,Table1_1[Amount])</f>
        <v>37129</v>
      </c>
      <c r="G64" s="1" t="str">
        <f>IF(WEEKDAY(Table1_1[[#This Row],[Date]])&gt;5,"WEEKEND","WEEKDAY")</f>
        <v>WEEKEND</v>
      </c>
      <c r="H64">
        <v>9812166804</v>
      </c>
      <c r="I64" t="s">
        <v>402</v>
      </c>
      <c r="J64">
        <v>4108</v>
      </c>
      <c r="K64" t="str">
        <f>IF(Table1_1[[#This Row],[Amount]]&gt;=4000,"LARGE ORDER","SMALL ORDER")</f>
        <v>LARGE ORDER</v>
      </c>
      <c r="L64" t="str">
        <f>IF(Table1_1[[#This Row],[Status]]="COMPLETED","REVENUE REALISED","AWAITING COMPLETION")</f>
        <v>REVENUE REALISED</v>
      </c>
      <c r="M64" t="s">
        <v>418</v>
      </c>
      <c r="N64" t="s">
        <v>73</v>
      </c>
      <c r="O64" t="s">
        <v>74</v>
      </c>
      <c r="P64" t="s">
        <v>61</v>
      </c>
    </row>
    <row r="65" spans="1:16" x14ac:dyDescent="0.3">
      <c r="A65">
        <v>164</v>
      </c>
      <c r="B65" t="s">
        <v>416</v>
      </c>
      <c r="C65" s="1">
        <v>46090</v>
      </c>
      <c r="D65" s="1">
        <v>46101</v>
      </c>
      <c r="E65" s="1" t="str">
        <f>IF(Table1_1[[#This Row],[TODAYS DATE]]-Table1_1[[#This Row],[Date]]&gt;7,"OLD ORDER","RECENT ORDER")</f>
        <v>OLD ORDER</v>
      </c>
      <c r="F65" s="2">
        <f>SUMIF(Table1_1[Date],C67,Table1_1[Amount])</f>
        <v>43430</v>
      </c>
      <c r="G65" s="1" t="str">
        <f>IF(WEEKDAY(Table1_1[[#This Row],[Date]])&gt;5,"WEEKEND","WEEKDAY")</f>
        <v>WEEKDAY</v>
      </c>
      <c r="H65">
        <v>9641124760</v>
      </c>
      <c r="I65" t="s">
        <v>417</v>
      </c>
      <c r="J65">
        <v>4939</v>
      </c>
      <c r="K65" t="str">
        <f>IF(Table1_1[[#This Row],[Amount]]&gt;=4000,"LARGE ORDER","SMALL ORDER")</f>
        <v>LARGE ORDER</v>
      </c>
      <c r="L65" t="str">
        <f>IF(Table1_1[[#This Row],[Status]]="COMPLETED","REVENUE REALISED","AWAITING COMPLETION")</f>
        <v>REVENUE REALISED</v>
      </c>
      <c r="M65" t="s">
        <v>414</v>
      </c>
      <c r="N65" t="s">
        <v>73</v>
      </c>
      <c r="O65" t="s">
        <v>3</v>
      </c>
      <c r="P65" t="s">
        <v>61</v>
      </c>
    </row>
    <row r="66" spans="1:16" x14ac:dyDescent="0.3">
      <c r="A66">
        <v>165</v>
      </c>
      <c r="B66" t="s">
        <v>399</v>
      </c>
      <c r="C66" s="1">
        <v>46097</v>
      </c>
      <c r="D66" s="1">
        <v>46101</v>
      </c>
      <c r="E66" s="1" t="str">
        <f>IF(Table1_1[[#This Row],[TODAYS DATE]]-Table1_1[[#This Row],[Date]]&gt;7,"OLD ORDER","RECENT ORDER")</f>
        <v>RECENT ORDER</v>
      </c>
      <c r="F66" s="2">
        <f>SUMIF(Table1_1[Date],C68,Table1_1[Amount])</f>
        <v>26244</v>
      </c>
      <c r="G66" s="1" t="str">
        <f>IF(WEEKDAY(Table1_1[[#This Row],[Date]])&gt;5,"WEEKEND","WEEKDAY")</f>
        <v>WEEKDAY</v>
      </c>
      <c r="H66">
        <v>991849737</v>
      </c>
      <c r="I66" t="s">
        <v>400</v>
      </c>
      <c r="J66">
        <v>2240</v>
      </c>
      <c r="K66" t="str">
        <f>IF(Table1_1[[#This Row],[Amount]]&gt;=4000,"LARGE ORDER","SMALL ORDER")</f>
        <v>SMALL ORDER</v>
      </c>
      <c r="L66" t="str">
        <f>IF(Table1_1[[#This Row],[Status]]="COMPLETED","REVENUE REALISED","AWAITING COMPLETION")</f>
        <v>AWAITING COMPLETION</v>
      </c>
      <c r="M66" t="s">
        <v>26</v>
      </c>
      <c r="N66" t="s">
        <v>73</v>
      </c>
      <c r="O66" t="s">
        <v>18</v>
      </c>
      <c r="P66" t="s">
        <v>37</v>
      </c>
    </row>
    <row r="67" spans="1:16" x14ac:dyDescent="0.3">
      <c r="A67">
        <v>166</v>
      </c>
      <c r="B67" t="s">
        <v>82</v>
      </c>
      <c r="C67" s="1">
        <v>46095</v>
      </c>
      <c r="D67" s="1">
        <v>46101</v>
      </c>
      <c r="E67" s="1" t="str">
        <f>IF(Table1_1[[#This Row],[TODAYS DATE]]-Table1_1[[#This Row],[Date]]&gt;7,"OLD ORDER","RECENT ORDER")</f>
        <v>RECENT ORDER</v>
      </c>
      <c r="F67" s="2">
        <f>SUMIF(Table1_1[Date],C69,Table1_1[Amount])</f>
        <v>40941</v>
      </c>
      <c r="G67" s="1" t="str">
        <f>IF(WEEKDAY(Table1_1[[#This Row],[Date]])&gt;5,"WEEKEND","WEEKDAY")</f>
        <v>WEEKEND</v>
      </c>
      <c r="H67">
        <v>9754213224</v>
      </c>
      <c r="I67" t="s">
        <v>292</v>
      </c>
      <c r="J67">
        <v>4033</v>
      </c>
      <c r="K67" t="str">
        <f>IF(Table1_1[[#This Row],[Amount]]&gt;=4000,"LARGE ORDER","SMALL ORDER")</f>
        <v>LARGE ORDER</v>
      </c>
      <c r="L67" t="str">
        <f>IF(Table1_1[[#This Row],[Status]]="COMPLETED","REVENUE REALISED","AWAITING COMPLETION")</f>
        <v>AWAITING COMPLETION</v>
      </c>
      <c r="M67" t="s">
        <v>398</v>
      </c>
      <c r="N67" t="s">
        <v>73</v>
      </c>
      <c r="O67" t="s">
        <v>74</v>
      </c>
      <c r="P67" t="s">
        <v>37</v>
      </c>
    </row>
    <row r="68" spans="1:16" x14ac:dyDescent="0.3">
      <c r="A68">
        <v>167</v>
      </c>
      <c r="B68" t="s">
        <v>82</v>
      </c>
      <c r="C68" s="1">
        <v>46096</v>
      </c>
      <c r="D68" s="1">
        <v>46101</v>
      </c>
      <c r="E68" s="1" t="str">
        <f>IF(Table1_1[[#This Row],[TODAYS DATE]]-Table1_1[[#This Row],[Date]]&gt;7,"OLD ORDER","RECENT ORDER")</f>
        <v>RECENT ORDER</v>
      </c>
      <c r="F68" s="2">
        <f>SUMIF(Table1_1[Date],C70,Table1_1[Amount])</f>
        <v>49303</v>
      </c>
      <c r="G68" s="1" t="str">
        <f>IF(WEEKDAY(Table1_1[[#This Row],[Date]])&gt;5,"WEEKEND","WEEKDAY")</f>
        <v>WEEKDAY</v>
      </c>
      <c r="H68">
        <v>9839108465</v>
      </c>
      <c r="I68" t="s">
        <v>292</v>
      </c>
      <c r="J68">
        <v>4553</v>
      </c>
      <c r="K68" t="str">
        <f>IF(Table1_1[[#This Row],[Amount]]&gt;=4000,"LARGE ORDER","SMALL ORDER")</f>
        <v>LARGE ORDER</v>
      </c>
      <c r="L68" t="str">
        <f>IF(Table1_1[[#This Row],[Status]]="COMPLETED","REVENUE REALISED","AWAITING COMPLETION")</f>
        <v>REVENUE REALISED</v>
      </c>
      <c r="M68" t="s">
        <v>414</v>
      </c>
      <c r="N68" t="s">
        <v>73</v>
      </c>
      <c r="O68" t="s">
        <v>3</v>
      </c>
      <c r="P68" t="s">
        <v>61</v>
      </c>
    </row>
    <row r="69" spans="1:16" x14ac:dyDescent="0.3">
      <c r="A69">
        <v>168</v>
      </c>
      <c r="B69" t="s">
        <v>397</v>
      </c>
      <c r="C69" s="1">
        <v>46090</v>
      </c>
      <c r="D69" s="1">
        <v>46101</v>
      </c>
      <c r="E69" s="1" t="str">
        <f>IF(Table1_1[[#This Row],[TODAYS DATE]]-Table1_1[[#This Row],[Date]]&gt;7,"OLD ORDER","RECENT ORDER")</f>
        <v>OLD ORDER</v>
      </c>
      <c r="F69" s="2">
        <f>SUMIF(Table1_1[Date],C71,Table1_1[Amount])</f>
        <v>20829</v>
      </c>
      <c r="G69" s="1" t="str">
        <f>IF(WEEKDAY(Table1_1[[#This Row],[Date]])&gt;5,"WEEKEND","WEEKDAY")</f>
        <v>WEEKDAY</v>
      </c>
      <c r="H69">
        <v>985902257</v>
      </c>
      <c r="I69" t="s">
        <v>406</v>
      </c>
      <c r="J69">
        <v>3490</v>
      </c>
      <c r="K69" t="str">
        <f>IF(Table1_1[[#This Row],[Amount]]&gt;=4000,"LARGE ORDER","SMALL ORDER")</f>
        <v>SMALL ORDER</v>
      </c>
      <c r="L69" t="str">
        <f>IF(Table1_1[[#This Row],[Status]]="COMPLETED","REVENUE REALISED","AWAITING COMPLETION")</f>
        <v>AWAITING COMPLETION</v>
      </c>
      <c r="M69" t="s">
        <v>52</v>
      </c>
      <c r="N69" t="s">
        <v>73</v>
      </c>
      <c r="O69" t="s">
        <v>18</v>
      </c>
      <c r="P69" t="s">
        <v>37</v>
      </c>
    </row>
    <row r="70" spans="1:16" x14ac:dyDescent="0.3">
      <c r="A70">
        <v>169</v>
      </c>
      <c r="B70" t="s">
        <v>21</v>
      </c>
      <c r="C70" s="1">
        <v>46091</v>
      </c>
      <c r="D70" s="1">
        <v>46101</v>
      </c>
      <c r="E70" s="1" t="str">
        <f>IF(Table1_1[[#This Row],[TODAYS DATE]]-Table1_1[[#This Row],[Date]]&gt;7,"OLD ORDER","RECENT ORDER")</f>
        <v>OLD ORDER</v>
      </c>
      <c r="F70" s="2">
        <f>SUMIF(Table1_1[Date],C72,Table1_1[Amount])</f>
        <v>49303</v>
      </c>
      <c r="G70" s="1" t="str">
        <f>IF(WEEKDAY(Table1_1[[#This Row],[Date]])&gt;5,"WEEKEND","WEEKDAY")</f>
        <v>WEEKDAY</v>
      </c>
      <c r="H70">
        <v>923355790</v>
      </c>
      <c r="I70" t="s">
        <v>78</v>
      </c>
      <c r="J70">
        <v>2519</v>
      </c>
      <c r="K70" t="str">
        <f>IF(Table1_1[[#This Row],[Amount]]&gt;=4000,"LARGE ORDER","SMALL ORDER")</f>
        <v>SMALL ORDER</v>
      </c>
      <c r="L70" t="str">
        <f>IF(Table1_1[[#This Row],[Status]]="COMPLETED","REVENUE REALISED","AWAITING COMPLETION")</f>
        <v>AWAITING COMPLETION</v>
      </c>
      <c r="M70" t="s">
        <v>35</v>
      </c>
      <c r="N70" t="s">
        <v>73</v>
      </c>
      <c r="O70" t="s">
        <v>74</v>
      </c>
      <c r="P70" t="s">
        <v>37</v>
      </c>
    </row>
    <row r="71" spans="1:16" x14ac:dyDescent="0.3">
      <c r="A71">
        <v>170</v>
      </c>
      <c r="B71" t="s">
        <v>138</v>
      </c>
      <c r="C71" s="1">
        <v>46094</v>
      </c>
      <c r="D71" s="1">
        <v>46101</v>
      </c>
      <c r="E71" s="1" t="str">
        <f>IF(Table1_1[[#This Row],[TODAYS DATE]]-Table1_1[[#This Row],[Date]]&gt;7,"OLD ORDER","RECENT ORDER")</f>
        <v>RECENT ORDER</v>
      </c>
      <c r="F71" s="2">
        <f>SUMIF(Table1_1[Date],C73,Table1_1[Amount])</f>
        <v>49303</v>
      </c>
      <c r="G71" s="1" t="str">
        <f>IF(WEEKDAY(Table1_1[[#This Row],[Date]])&gt;5,"WEEKEND","WEEKDAY")</f>
        <v>WEEKEND</v>
      </c>
      <c r="H71">
        <v>9070710</v>
      </c>
      <c r="I71" t="s">
        <v>140</v>
      </c>
      <c r="J71">
        <v>3604</v>
      </c>
      <c r="K71" t="str">
        <f>IF(Table1_1[[#This Row],[Amount]]&gt;=4000,"LARGE ORDER","SMALL ORDER")</f>
        <v>SMALL ORDER</v>
      </c>
      <c r="L71" t="str">
        <f>IF(Table1_1[[#This Row],[Status]]="COMPLETED","REVENUE REALISED","AWAITING COMPLETION")</f>
        <v>AWAITING COMPLETION</v>
      </c>
      <c r="M71" t="s">
        <v>26</v>
      </c>
      <c r="N71" t="s">
        <v>53</v>
      </c>
      <c r="O71" t="s">
        <v>74</v>
      </c>
      <c r="P71" t="s">
        <v>136</v>
      </c>
    </row>
    <row r="72" spans="1:16" x14ac:dyDescent="0.3">
      <c r="A72">
        <v>171</v>
      </c>
      <c r="B72" t="s">
        <v>82</v>
      </c>
      <c r="C72" s="1">
        <v>46091</v>
      </c>
      <c r="D72" s="1">
        <v>46101</v>
      </c>
      <c r="E72" s="1" t="str">
        <f>IF(Table1_1[[#This Row],[TODAYS DATE]]-Table1_1[[#This Row],[Date]]&gt;7,"OLD ORDER","RECENT ORDER")</f>
        <v>OLD ORDER</v>
      </c>
      <c r="F72" s="2">
        <f>SUMIF(Table1_1[Date],C74,Table1_1[Amount])</f>
        <v>37129</v>
      </c>
      <c r="G72" s="1" t="str">
        <f>IF(WEEKDAY(Table1_1[[#This Row],[Date]])&gt;5,"WEEKEND","WEEKDAY")</f>
        <v>WEEKDAY</v>
      </c>
      <c r="H72">
        <v>9278752212</v>
      </c>
      <c r="I72" t="s">
        <v>410</v>
      </c>
      <c r="J72">
        <v>4843</v>
      </c>
      <c r="K72" t="str">
        <f>IF(Table1_1[[#This Row],[Amount]]&gt;=4000,"LARGE ORDER","SMALL ORDER")</f>
        <v>LARGE ORDER</v>
      </c>
      <c r="L72" t="str">
        <f>IF(Table1_1[[#This Row],[Status]]="COMPLETED","REVENUE REALISED","AWAITING COMPLETION")</f>
        <v>REVENUE REALISED</v>
      </c>
      <c r="M72" t="s">
        <v>114</v>
      </c>
      <c r="N72" t="s">
        <v>53</v>
      </c>
      <c r="O72" t="s">
        <v>18</v>
      </c>
      <c r="P72" t="s">
        <v>61</v>
      </c>
    </row>
    <row r="73" spans="1:16" x14ac:dyDescent="0.3">
      <c r="A73">
        <v>172</v>
      </c>
      <c r="B73" t="s">
        <v>82</v>
      </c>
      <c r="C73" s="1">
        <v>46091</v>
      </c>
      <c r="D73" s="1">
        <v>46101</v>
      </c>
      <c r="E73" s="1" t="str">
        <f>IF(Table1_1[[#This Row],[TODAYS DATE]]-Table1_1[[#This Row],[Date]]&gt;7,"OLD ORDER","RECENT ORDER")</f>
        <v>OLD ORDER</v>
      </c>
      <c r="F73" s="2">
        <f>SUMIF(Table1_1[Date],C75,Table1_1[Amount])</f>
        <v>40941</v>
      </c>
      <c r="G73" s="1" t="str">
        <f>IF(WEEKDAY(Table1_1[[#This Row],[Date]])&gt;5,"WEEKEND","WEEKDAY")</f>
        <v>WEEKDAY</v>
      </c>
      <c r="H73">
        <v>9394997205</v>
      </c>
      <c r="I73" t="s">
        <v>410</v>
      </c>
      <c r="J73">
        <v>4338</v>
      </c>
      <c r="K73" t="str">
        <f>IF(Table1_1[[#This Row],[Amount]]&gt;=4000,"LARGE ORDER","SMALL ORDER")</f>
        <v>LARGE ORDER</v>
      </c>
      <c r="L73" t="str">
        <f>IF(Table1_1[[#This Row],[Status]]="COMPLETED","REVENUE REALISED","AWAITING COMPLETION")</f>
        <v>REVENUE REALISED</v>
      </c>
      <c r="M73" t="s">
        <v>35</v>
      </c>
      <c r="N73" t="s">
        <v>53</v>
      </c>
      <c r="O73" t="s">
        <v>98</v>
      </c>
      <c r="P73" t="s">
        <v>61</v>
      </c>
    </row>
    <row r="74" spans="1:16" x14ac:dyDescent="0.3">
      <c r="A74">
        <v>173</v>
      </c>
      <c r="B74" t="s">
        <v>403</v>
      </c>
      <c r="C74" s="1">
        <v>46097</v>
      </c>
      <c r="D74" s="1">
        <v>46101</v>
      </c>
      <c r="E74" s="1" t="str">
        <f>IF(Table1_1[[#This Row],[TODAYS DATE]]-Table1_1[[#This Row],[Date]]&gt;7,"OLD ORDER","RECENT ORDER")</f>
        <v>RECENT ORDER</v>
      </c>
      <c r="F74" s="2">
        <f>SUMIF(Table1_1[Date],C76,Table1_1[Amount])</f>
        <v>49303</v>
      </c>
      <c r="G74" s="1" t="str">
        <f>IF(WEEKDAY(Table1_1[[#This Row],[Date]])&gt;5,"WEEKEND","WEEKDAY")</f>
        <v>WEEKDAY</v>
      </c>
      <c r="H74">
        <v>9085162705</v>
      </c>
      <c r="I74" t="s">
        <v>411</v>
      </c>
      <c r="J74">
        <v>1068</v>
      </c>
      <c r="K74" t="str">
        <f>IF(Table1_1[[#This Row],[Amount]]&gt;=4000,"LARGE ORDER","SMALL ORDER")</f>
        <v>SMALL ORDER</v>
      </c>
      <c r="L74" t="str">
        <f>IF(Table1_1[[#This Row],[Status]]="COMPLETED","REVENUE REALISED","AWAITING COMPLETION")</f>
        <v>AWAITING COMPLETION</v>
      </c>
      <c r="M74" t="s">
        <v>114</v>
      </c>
      <c r="N74" t="s">
        <v>73</v>
      </c>
      <c r="O74" t="s">
        <v>18</v>
      </c>
      <c r="P74" t="s">
        <v>136</v>
      </c>
    </row>
    <row r="75" spans="1:16" x14ac:dyDescent="0.3">
      <c r="A75">
        <v>174</v>
      </c>
      <c r="B75" t="s">
        <v>82</v>
      </c>
      <c r="C75" s="1">
        <v>46090</v>
      </c>
      <c r="D75" s="1">
        <v>46101</v>
      </c>
      <c r="E75" s="1" t="str">
        <f>IF(Table1_1[[#This Row],[TODAYS DATE]]-Table1_1[[#This Row],[Date]]&gt;7,"OLD ORDER","RECENT ORDER")</f>
        <v>OLD ORDER</v>
      </c>
      <c r="F75" s="2">
        <f>SUMIF(Table1_1[Date],C77,Table1_1[Amount])</f>
        <v>20829</v>
      </c>
      <c r="G75" s="1" t="str">
        <f>IF(WEEKDAY(Table1_1[[#This Row],[Date]])&gt;5,"WEEKEND","WEEKDAY")</f>
        <v>WEEKDAY</v>
      </c>
      <c r="H75">
        <v>928555047</v>
      </c>
      <c r="I75" t="s">
        <v>410</v>
      </c>
      <c r="J75">
        <v>3191</v>
      </c>
      <c r="K75" t="str">
        <f>IF(Table1_1[[#This Row],[Amount]]&gt;=4000,"LARGE ORDER","SMALL ORDER")</f>
        <v>SMALL ORDER</v>
      </c>
      <c r="L75" t="str">
        <f>IF(Table1_1[[#This Row],[Status]]="COMPLETED","REVENUE REALISED","AWAITING COMPLETION")</f>
        <v>REVENUE REALISED</v>
      </c>
      <c r="M75" t="s">
        <v>26</v>
      </c>
      <c r="N75" t="s">
        <v>53</v>
      </c>
      <c r="O75" t="s">
        <v>3</v>
      </c>
      <c r="P75" t="s">
        <v>61</v>
      </c>
    </row>
    <row r="76" spans="1:16" x14ac:dyDescent="0.3">
      <c r="A76">
        <v>175</v>
      </c>
      <c r="B76" t="s">
        <v>401</v>
      </c>
      <c r="C76" s="1">
        <v>46091</v>
      </c>
      <c r="D76" s="1">
        <v>46101</v>
      </c>
      <c r="E76" s="1" t="str">
        <f>IF(Table1_1[[#This Row],[TODAYS DATE]]-Table1_1[[#This Row],[Date]]&gt;7,"OLD ORDER","RECENT ORDER")</f>
        <v>OLD ORDER</v>
      </c>
      <c r="F76" s="2">
        <f>SUMIF(Table1_1[Date],C78,Table1_1[Amount])</f>
        <v>33875</v>
      </c>
      <c r="G76" s="1" t="str">
        <f>IF(WEEKDAY(Table1_1[[#This Row],[Date]])&gt;5,"WEEKEND","WEEKDAY")</f>
        <v>WEEKDAY</v>
      </c>
      <c r="H76">
        <v>997871767</v>
      </c>
      <c r="I76" t="s">
        <v>221</v>
      </c>
      <c r="J76">
        <v>4110</v>
      </c>
      <c r="K76" t="str">
        <f>IF(Table1_1[[#This Row],[Amount]]&gt;=4000,"LARGE ORDER","SMALL ORDER")</f>
        <v>LARGE ORDER</v>
      </c>
      <c r="L76" t="str">
        <f>IF(Table1_1[[#This Row],[Status]]="COMPLETED","REVENUE REALISED","AWAITING COMPLETION")</f>
        <v>AWAITING COMPLETION</v>
      </c>
      <c r="M76" t="s">
        <v>407</v>
      </c>
      <c r="N76" t="s">
        <v>73</v>
      </c>
      <c r="O76" t="s">
        <v>98</v>
      </c>
      <c r="P76" t="s">
        <v>37</v>
      </c>
    </row>
    <row r="77" spans="1:16" x14ac:dyDescent="0.3">
      <c r="A77">
        <v>176</v>
      </c>
      <c r="B77" t="s">
        <v>82</v>
      </c>
      <c r="C77" s="1">
        <v>46094</v>
      </c>
      <c r="D77" s="1">
        <v>46101</v>
      </c>
      <c r="E77" s="1" t="str">
        <f>IF(Table1_1[[#This Row],[TODAYS DATE]]-Table1_1[[#This Row],[Date]]&gt;7,"OLD ORDER","RECENT ORDER")</f>
        <v>RECENT ORDER</v>
      </c>
      <c r="F77" s="2">
        <f>SUMIF(Table1_1[Date],C79,Table1_1[Amount])</f>
        <v>37129</v>
      </c>
      <c r="G77" s="1" t="str">
        <f>IF(WEEKDAY(Table1_1[[#This Row],[Date]])&gt;5,"WEEKEND","WEEKDAY")</f>
        <v>WEEKEND</v>
      </c>
      <c r="H77">
        <v>970581993</v>
      </c>
      <c r="I77" t="s">
        <v>292</v>
      </c>
      <c r="J77">
        <v>3853</v>
      </c>
      <c r="K77" t="str">
        <f>IF(Table1_1[[#This Row],[Amount]]&gt;=4000,"LARGE ORDER","SMALL ORDER")</f>
        <v>SMALL ORDER</v>
      </c>
      <c r="L77" t="str">
        <f>IF(Table1_1[[#This Row],[Status]]="COMPLETED","REVENUE REALISED","AWAITING COMPLETION")</f>
        <v>REVENUE REALISED</v>
      </c>
      <c r="M77" t="s">
        <v>26</v>
      </c>
      <c r="N77" t="s">
        <v>53</v>
      </c>
      <c r="O77" t="s">
        <v>98</v>
      </c>
      <c r="P77" t="s">
        <v>61</v>
      </c>
    </row>
    <row r="78" spans="1:16" x14ac:dyDescent="0.3">
      <c r="A78">
        <v>177</v>
      </c>
      <c r="B78" t="s">
        <v>403</v>
      </c>
      <c r="C78" s="1">
        <v>46088</v>
      </c>
      <c r="D78" s="1">
        <v>46101</v>
      </c>
      <c r="E78" s="1" t="str">
        <f>IF(Table1_1[[#This Row],[TODAYS DATE]]-Table1_1[[#This Row],[Date]]&gt;7,"OLD ORDER","RECENT ORDER")</f>
        <v>OLD ORDER</v>
      </c>
      <c r="F78" s="2">
        <f>SUMIF(Table1_1[Date],C80,Table1_1[Amount])</f>
        <v>40941</v>
      </c>
      <c r="G78" s="1" t="str">
        <f>IF(WEEKDAY(Table1_1[[#This Row],[Date]])&gt;5,"WEEKEND","WEEKDAY")</f>
        <v>WEEKEND</v>
      </c>
      <c r="H78">
        <v>9219428529</v>
      </c>
      <c r="I78" t="s">
        <v>50</v>
      </c>
      <c r="J78">
        <v>2190</v>
      </c>
      <c r="K78" t="str">
        <f>IF(Table1_1[[#This Row],[Amount]]&gt;=4000,"LARGE ORDER","SMALL ORDER")</f>
        <v>SMALL ORDER</v>
      </c>
      <c r="L78" t="str">
        <f>IF(Table1_1[[#This Row],[Status]]="COMPLETED","REVENUE REALISED","AWAITING COMPLETION")</f>
        <v>REVENUE REALISED</v>
      </c>
      <c r="M78" t="s">
        <v>407</v>
      </c>
      <c r="N78" t="s">
        <v>53</v>
      </c>
      <c r="O78" t="s">
        <v>3</v>
      </c>
      <c r="P78" t="s">
        <v>61</v>
      </c>
    </row>
    <row r="79" spans="1:16" x14ac:dyDescent="0.3">
      <c r="A79">
        <v>178</v>
      </c>
      <c r="B79" t="s">
        <v>397</v>
      </c>
      <c r="C79" s="1">
        <v>46097</v>
      </c>
      <c r="D79" s="1">
        <v>46101</v>
      </c>
      <c r="E79" s="1" t="str">
        <f>IF(Table1_1[[#This Row],[TODAYS DATE]]-Table1_1[[#This Row],[Date]]&gt;7,"OLD ORDER","RECENT ORDER")</f>
        <v>RECENT ORDER</v>
      </c>
      <c r="F79" s="2">
        <f>SUMIF(Table1_1[Date],C81,Table1_1[Amount])</f>
        <v>26244</v>
      </c>
      <c r="G79" s="1" t="str">
        <f>IF(WEEKDAY(Table1_1[[#This Row],[Date]])&gt;5,"WEEKEND","WEEKDAY")</f>
        <v>WEEKDAY</v>
      </c>
      <c r="H79">
        <v>9013776718</v>
      </c>
      <c r="I79" t="s">
        <v>406</v>
      </c>
      <c r="J79">
        <v>2099</v>
      </c>
      <c r="K79" t="str">
        <f>IF(Table1_1[[#This Row],[Amount]]&gt;=4000,"LARGE ORDER","SMALL ORDER")</f>
        <v>SMALL ORDER</v>
      </c>
      <c r="L79" t="str">
        <f>IF(Table1_1[[#This Row],[Status]]="COMPLETED","REVENUE REALISED","AWAITING COMPLETION")</f>
        <v>AWAITING COMPLETION</v>
      </c>
      <c r="M79" t="s">
        <v>418</v>
      </c>
      <c r="N79" t="s">
        <v>53</v>
      </c>
      <c r="O79" t="s">
        <v>3</v>
      </c>
      <c r="P79" t="s">
        <v>136</v>
      </c>
    </row>
    <row r="80" spans="1:16" x14ac:dyDescent="0.3">
      <c r="A80">
        <v>179</v>
      </c>
      <c r="B80" t="s">
        <v>416</v>
      </c>
      <c r="C80" s="1">
        <v>46090</v>
      </c>
      <c r="D80" s="1">
        <v>46101</v>
      </c>
      <c r="E80" s="1" t="str">
        <f>IF(Table1_1[[#This Row],[TODAYS DATE]]-Table1_1[[#This Row],[Date]]&gt;7,"OLD ORDER","RECENT ORDER")</f>
        <v>OLD ORDER</v>
      </c>
      <c r="F80" s="2">
        <f>SUMIF(Table1_1[Date],C82,Table1_1[Amount])</f>
        <v>40941</v>
      </c>
      <c r="G80" s="1" t="str">
        <f>IF(WEEKDAY(Table1_1[[#This Row],[Date]])&gt;5,"WEEKEND","WEEKDAY")</f>
        <v>WEEKDAY</v>
      </c>
      <c r="H80">
        <v>903189690</v>
      </c>
      <c r="I80" t="s">
        <v>417</v>
      </c>
      <c r="J80">
        <v>2129</v>
      </c>
      <c r="K80" t="str">
        <f>IF(Table1_1[[#This Row],[Amount]]&gt;=4000,"LARGE ORDER","SMALL ORDER")</f>
        <v>SMALL ORDER</v>
      </c>
      <c r="L80" t="str">
        <f>IF(Table1_1[[#This Row],[Status]]="COMPLETED","REVENUE REALISED","AWAITING COMPLETION")</f>
        <v>AWAITING COMPLETION</v>
      </c>
      <c r="M80" t="s">
        <v>405</v>
      </c>
      <c r="N80" t="s">
        <v>53</v>
      </c>
      <c r="O80" t="s">
        <v>3</v>
      </c>
      <c r="P80" t="s">
        <v>136</v>
      </c>
    </row>
    <row r="81" spans="1:16" x14ac:dyDescent="0.3">
      <c r="A81">
        <v>180</v>
      </c>
      <c r="B81" t="s">
        <v>138</v>
      </c>
      <c r="C81" s="1">
        <v>46096</v>
      </c>
      <c r="D81" s="1">
        <v>46101</v>
      </c>
      <c r="E81" s="1" t="str">
        <f>IF(Table1_1[[#This Row],[TODAYS DATE]]-Table1_1[[#This Row],[Date]]&gt;7,"OLD ORDER","RECENT ORDER")</f>
        <v>RECENT ORDER</v>
      </c>
      <c r="F81" s="2">
        <f>SUMIF(Table1_1[Date],C83,Table1_1[Amount])</f>
        <v>37129</v>
      </c>
      <c r="G81" s="1" t="str">
        <f>IF(WEEKDAY(Table1_1[[#This Row],[Date]])&gt;5,"WEEKEND","WEEKDAY")</f>
        <v>WEEKDAY</v>
      </c>
      <c r="H81">
        <v>9127419556</v>
      </c>
      <c r="I81" t="s">
        <v>419</v>
      </c>
      <c r="J81">
        <v>1650</v>
      </c>
      <c r="K81" t="str">
        <f>IF(Table1_1[[#This Row],[Amount]]&gt;=4000,"LARGE ORDER","SMALL ORDER")</f>
        <v>SMALL ORDER</v>
      </c>
      <c r="L81" t="str">
        <f>IF(Table1_1[[#This Row],[Status]]="COMPLETED","REVENUE REALISED","AWAITING COMPLETION")</f>
        <v>AWAITING COMPLETION</v>
      </c>
      <c r="M81" t="s">
        <v>414</v>
      </c>
      <c r="N81" t="s">
        <v>73</v>
      </c>
      <c r="O81" t="s">
        <v>18</v>
      </c>
      <c r="P81" t="s">
        <v>37</v>
      </c>
    </row>
    <row r="82" spans="1:16" x14ac:dyDescent="0.3">
      <c r="A82">
        <v>181</v>
      </c>
      <c r="B82" t="s">
        <v>82</v>
      </c>
      <c r="C82" s="1">
        <v>46090</v>
      </c>
      <c r="D82" s="1">
        <v>46101</v>
      </c>
      <c r="E82" s="1" t="str">
        <f>IF(Table1_1[[#This Row],[TODAYS DATE]]-Table1_1[[#This Row],[Date]]&gt;7,"OLD ORDER","RECENT ORDER")</f>
        <v>OLD ORDER</v>
      </c>
      <c r="F82" s="2">
        <f>SUMIF(Table1_1[Date],C84,Table1_1[Amount])</f>
        <v>33875</v>
      </c>
      <c r="G82" s="1" t="str">
        <f>IF(WEEKDAY(Table1_1[[#This Row],[Date]])&gt;5,"WEEKEND","WEEKDAY")</f>
        <v>WEEKDAY</v>
      </c>
      <c r="H82">
        <v>9296213171</v>
      </c>
      <c r="I82" t="s">
        <v>410</v>
      </c>
      <c r="J82">
        <v>5634</v>
      </c>
      <c r="K82" t="str">
        <f>IF(Table1_1[[#This Row],[Amount]]&gt;=4000,"LARGE ORDER","SMALL ORDER")</f>
        <v>LARGE ORDER</v>
      </c>
      <c r="L82" t="str">
        <f>IF(Table1_1[[#This Row],[Status]]="COMPLETED","REVENUE REALISED","AWAITING COMPLETION")</f>
        <v>AWAITING COMPLETION</v>
      </c>
      <c r="M82" t="s">
        <v>407</v>
      </c>
      <c r="N82" t="s">
        <v>53</v>
      </c>
      <c r="O82" t="s">
        <v>18</v>
      </c>
      <c r="P82" t="s">
        <v>37</v>
      </c>
    </row>
    <row r="83" spans="1:16" x14ac:dyDescent="0.3">
      <c r="A83">
        <v>182</v>
      </c>
      <c r="B83" t="s">
        <v>401</v>
      </c>
      <c r="C83" s="1">
        <v>46097</v>
      </c>
      <c r="D83" s="1">
        <v>46101</v>
      </c>
      <c r="E83" s="1" t="str">
        <f>IF(Table1_1[[#This Row],[TODAYS DATE]]-Table1_1[[#This Row],[Date]]&gt;7,"OLD ORDER","RECENT ORDER")</f>
        <v>RECENT ORDER</v>
      </c>
      <c r="F83" s="2">
        <f>SUMIF(Table1_1[Date],C85,Table1_1[Amount])</f>
        <v>37129</v>
      </c>
      <c r="G83" s="1" t="str">
        <f>IF(WEEKDAY(Table1_1[[#This Row],[Date]])&gt;5,"WEEKEND","WEEKDAY")</f>
        <v>WEEKDAY</v>
      </c>
      <c r="H83">
        <v>9343320973</v>
      </c>
      <c r="I83" t="s">
        <v>221</v>
      </c>
      <c r="J83">
        <v>1863</v>
      </c>
      <c r="K83" t="str">
        <f>IF(Table1_1[[#This Row],[Amount]]&gt;=4000,"LARGE ORDER","SMALL ORDER")</f>
        <v>SMALL ORDER</v>
      </c>
      <c r="L83" t="str">
        <f>IF(Table1_1[[#This Row],[Status]]="COMPLETED","REVENUE REALISED","AWAITING COMPLETION")</f>
        <v>REVENUE REALISED</v>
      </c>
      <c r="M83" t="s">
        <v>86</v>
      </c>
      <c r="N83" t="s">
        <v>73</v>
      </c>
      <c r="O83" t="s">
        <v>98</v>
      </c>
      <c r="P83" t="s">
        <v>61</v>
      </c>
    </row>
    <row r="84" spans="1:16" x14ac:dyDescent="0.3">
      <c r="A84">
        <v>183</v>
      </c>
      <c r="B84" t="s">
        <v>412</v>
      </c>
      <c r="C84" s="1">
        <v>46088</v>
      </c>
      <c r="D84" s="1">
        <v>46101</v>
      </c>
      <c r="E84" s="1" t="str">
        <f>IF(Table1_1[[#This Row],[TODAYS DATE]]-Table1_1[[#This Row],[Date]]&gt;7,"OLD ORDER","RECENT ORDER")</f>
        <v>OLD ORDER</v>
      </c>
      <c r="F84" s="2">
        <f>SUMIF(Table1_1[Date],C86,Table1_1[Amount])</f>
        <v>43430</v>
      </c>
      <c r="G84" s="1" t="str">
        <f>IF(WEEKDAY(Table1_1[[#This Row],[Date]])&gt;5,"WEEKEND","WEEKDAY")</f>
        <v>WEEKEND</v>
      </c>
      <c r="H84">
        <v>9096913093</v>
      </c>
      <c r="I84" t="s">
        <v>168</v>
      </c>
      <c r="J84">
        <v>3216</v>
      </c>
      <c r="K84" t="str">
        <f>IF(Table1_1[[#This Row],[Amount]]&gt;=4000,"LARGE ORDER","SMALL ORDER")</f>
        <v>SMALL ORDER</v>
      </c>
      <c r="L84" t="str">
        <f>IF(Table1_1[[#This Row],[Status]]="COMPLETED","REVENUE REALISED","AWAITING COMPLETION")</f>
        <v>AWAITING COMPLETION</v>
      </c>
      <c r="M84" t="s">
        <v>114</v>
      </c>
      <c r="N84" t="s">
        <v>53</v>
      </c>
      <c r="O84" t="s">
        <v>18</v>
      </c>
      <c r="P84" t="s">
        <v>37</v>
      </c>
    </row>
    <row r="85" spans="1:16" x14ac:dyDescent="0.3">
      <c r="A85">
        <v>184</v>
      </c>
      <c r="B85" t="s">
        <v>412</v>
      </c>
      <c r="C85" s="1">
        <v>46097</v>
      </c>
      <c r="D85" s="1">
        <v>46101</v>
      </c>
      <c r="E85" s="1" t="str">
        <f>IF(Table1_1[[#This Row],[TODAYS DATE]]-Table1_1[[#This Row],[Date]]&gt;7,"OLD ORDER","RECENT ORDER")</f>
        <v>RECENT ORDER</v>
      </c>
      <c r="F85" s="2">
        <f>SUMIF(Table1_1[Date],C87,Table1_1[Amount])</f>
        <v>33875</v>
      </c>
      <c r="G85" s="1" t="str">
        <f>IF(WEEKDAY(Table1_1[[#This Row],[Date]])&gt;5,"WEEKEND","WEEKDAY")</f>
        <v>WEEKDAY</v>
      </c>
      <c r="H85">
        <v>9373790314</v>
      </c>
      <c r="I85" t="s">
        <v>168</v>
      </c>
      <c r="J85">
        <v>3960</v>
      </c>
      <c r="K85" t="str">
        <f>IF(Table1_1[[#This Row],[Amount]]&gt;=4000,"LARGE ORDER","SMALL ORDER")</f>
        <v>SMALL ORDER</v>
      </c>
      <c r="L85" t="str">
        <f>IF(Table1_1[[#This Row],[Status]]="COMPLETED","REVENUE REALISED","AWAITING COMPLETION")</f>
        <v>AWAITING COMPLETION</v>
      </c>
      <c r="M85" t="s">
        <v>86</v>
      </c>
      <c r="N85" t="s">
        <v>53</v>
      </c>
      <c r="O85" t="s">
        <v>98</v>
      </c>
      <c r="P85" t="s">
        <v>37</v>
      </c>
    </row>
    <row r="86" spans="1:16" x14ac:dyDescent="0.3">
      <c r="A86">
        <v>185</v>
      </c>
      <c r="B86" t="s">
        <v>399</v>
      </c>
      <c r="C86" s="1">
        <v>46095</v>
      </c>
      <c r="D86" s="1">
        <v>46101</v>
      </c>
      <c r="E86" s="1" t="str">
        <f>IF(Table1_1[[#This Row],[TODAYS DATE]]-Table1_1[[#This Row],[Date]]&gt;7,"OLD ORDER","RECENT ORDER")</f>
        <v>RECENT ORDER</v>
      </c>
      <c r="F86" s="2">
        <f>SUMIF(Table1_1[Date],C88,Table1_1[Amount])</f>
        <v>43430</v>
      </c>
      <c r="G86" s="1" t="str">
        <f>IF(WEEKDAY(Table1_1[[#This Row],[Date]])&gt;5,"WEEKEND","WEEKDAY")</f>
        <v>WEEKEND</v>
      </c>
      <c r="H86">
        <v>918824249</v>
      </c>
      <c r="I86" t="s">
        <v>400</v>
      </c>
      <c r="J86">
        <v>1939</v>
      </c>
      <c r="K86" t="str">
        <f>IF(Table1_1[[#This Row],[Amount]]&gt;=4000,"LARGE ORDER","SMALL ORDER")</f>
        <v>SMALL ORDER</v>
      </c>
      <c r="L86" t="str">
        <f>IF(Table1_1[[#This Row],[Status]]="COMPLETED","REVENUE REALISED","AWAITING COMPLETION")</f>
        <v>AWAITING COMPLETION</v>
      </c>
      <c r="M86" t="s">
        <v>418</v>
      </c>
      <c r="N86" t="s">
        <v>53</v>
      </c>
      <c r="O86" t="s">
        <v>98</v>
      </c>
      <c r="P86" t="s">
        <v>136</v>
      </c>
    </row>
    <row r="87" spans="1:16" x14ac:dyDescent="0.3">
      <c r="A87">
        <v>186</v>
      </c>
      <c r="B87" t="s">
        <v>21</v>
      </c>
      <c r="C87" s="1">
        <v>46088</v>
      </c>
      <c r="D87" s="1">
        <v>46101</v>
      </c>
      <c r="E87" s="1" t="str">
        <f>IF(Table1_1[[#This Row],[TODAYS DATE]]-Table1_1[[#This Row],[Date]]&gt;7,"OLD ORDER","RECENT ORDER")</f>
        <v>OLD ORDER</v>
      </c>
      <c r="F87" s="2">
        <f>SUMIF(Table1_1[Date],C89,Table1_1[Amount])</f>
        <v>40941</v>
      </c>
      <c r="G87" s="1" t="str">
        <f>IF(WEEKDAY(Table1_1[[#This Row],[Date]])&gt;5,"WEEKEND","WEEKDAY")</f>
        <v>WEEKEND</v>
      </c>
      <c r="H87">
        <v>9561515</v>
      </c>
      <c r="I87" t="s">
        <v>404</v>
      </c>
      <c r="J87">
        <v>3370</v>
      </c>
      <c r="K87" t="str">
        <f>IF(Table1_1[[#This Row],[Amount]]&gt;=4000,"LARGE ORDER","SMALL ORDER")</f>
        <v>SMALL ORDER</v>
      </c>
      <c r="L87" t="str">
        <f>IF(Table1_1[[#This Row],[Status]]="COMPLETED","REVENUE REALISED","AWAITING COMPLETION")</f>
        <v>REVENUE REALISED</v>
      </c>
      <c r="M87" t="s">
        <v>35</v>
      </c>
      <c r="N87" t="s">
        <v>73</v>
      </c>
      <c r="O87" t="s">
        <v>3</v>
      </c>
      <c r="P87" t="s">
        <v>61</v>
      </c>
    </row>
    <row r="88" spans="1:16" x14ac:dyDescent="0.3">
      <c r="A88">
        <v>187</v>
      </c>
      <c r="B88" t="s">
        <v>401</v>
      </c>
      <c r="C88" s="1">
        <v>46095</v>
      </c>
      <c r="D88" s="1">
        <v>46101</v>
      </c>
      <c r="E88" s="1" t="str">
        <f>IF(Table1_1[[#This Row],[TODAYS DATE]]-Table1_1[[#This Row],[Date]]&gt;7,"OLD ORDER","RECENT ORDER")</f>
        <v>RECENT ORDER</v>
      </c>
      <c r="F88" s="2">
        <f>SUMIF(Table1_1[Date],C90,Table1_1[Amount])</f>
        <v>26244</v>
      </c>
      <c r="G88" s="1" t="str">
        <f>IF(WEEKDAY(Table1_1[[#This Row],[Date]])&gt;5,"WEEKEND","WEEKDAY")</f>
        <v>WEEKEND</v>
      </c>
      <c r="H88">
        <v>9801579006</v>
      </c>
      <c r="I88" t="s">
        <v>221</v>
      </c>
      <c r="J88">
        <v>4399</v>
      </c>
      <c r="K88" t="str">
        <f>IF(Table1_1[[#This Row],[Amount]]&gt;=4000,"LARGE ORDER","SMALL ORDER")</f>
        <v>LARGE ORDER</v>
      </c>
      <c r="L88" t="str">
        <f>IF(Table1_1[[#This Row],[Status]]="COMPLETED","REVENUE REALISED","AWAITING COMPLETION")</f>
        <v>AWAITING COMPLETION</v>
      </c>
      <c r="M88" t="s">
        <v>405</v>
      </c>
      <c r="N88" t="s">
        <v>53</v>
      </c>
      <c r="O88" t="s">
        <v>98</v>
      </c>
      <c r="P88" t="s">
        <v>136</v>
      </c>
    </row>
    <row r="89" spans="1:16" x14ac:dyDescent="0.3">
      <c r="A89">
        <v>188</v>
      </c>
      <c r="B89" t="s">
        <v>397</v>
      </c>
      <c r="C89" s="1">
        <v>46090</v>
      </c>
      <c r="D89" s="1">
        <v>46101</v>
      </c>
      <c r="E89" s="1" t="str">
        <f>IF(Table1_1[[#This Row],[TODAYS DATE]]-Table1_1[[#This Row],[Date]]&gt;7,"OLD ORDER","RECENT ORDER")</f>
        <v>OLD ORDER</v>
      </c>
      <c r="F89" s="2">
        <f>SUMIF(Table1_1[Date],C91,Table1_1[Amount])</f>
        <v>37129</v>
      </c>
      <c r="G89" s="1" t="str">
        <f>IF(WEEKDAY(Table1_1[[#This Row],[Date]])&gt;5,"WEEKEND","WEEKDAY")</f>
        <v>WEEKDAY</v>
      </c>
      <c r="H89">
        <v>9453963843</v>
      </c>
      <c r="I89" t="s">
        <v>172</v>
      </c>
      <c r="J89">
        <v>4600</v>
      </c>
      <c r="K89" t="str">
        <f>IF(Table1_1[[#This Row],[Amount]]&gt;=4000,"LARGE ORDER","SMALL ORDER")</f>
        <v>LARGE ORDER</v>
      </c>
      <c r="L89" t="str">
        <f>IF(Table1_1[[#This Row],[Status]]="COMPLETED","REVENUE REALISED","AWAITING COMPLETION")</f>
        <v>AWAITING COMPLETION</v>
      </c>
      <c r="M89" t="s">
        <v>26</v>
      </c>
      <c r="N89" t="s">
        <v>73</v>
      </c>
      <c r="O89" t="s">
        <v>3</v>
      </c>
      <c r="P89" t="s">
        <v>37</v>
      </c>
    </row>
    <row r="90" spans="1:16" x14ac:dyDescent="0.3">
      <c r="A90">
        <v>189</v>
      </c>
      <c r="B90" t="s">
        <v>82</v>
      </c>
      <c r="C90" s="1">
        <v>46096</v>
      </c>
      <c r="D90" s="1">
        <v>46101</v>
      </c>
      <c r="E90" s="1" t="str">
        <f>IF(Table1_1[[#This Row],[TODAYS DATE]]-Table1_1[[#This Row],[Date]]&gt;7,"OLD ORDER","RECENT ORDER")</f>
        <v>RECENT ORDER</v>
      </c>
      <c r="F90" s="2">
        <f>SUMIF(Table1_1[Date],C92,Table1_1[Amount])</f>
        <v>49955</v>
      </c>
      <c r="G90" s="1" t="str">
        <f>IF(WEEKDAY(Table1_1[[#This Row],[Date]])&gt;5,"WEEKEND","WEEKDAY")</f>
        <v>WEEKDAY</v>
      </c>
      <c r="H90">
        <v>929086689</v>
      </c>
      <c r="I90" t="s">
        <v>292</v>
      </c>
      <c r="J90">
        <v>3724</v>
      </c>
      <c r="K90" t="str">
        <f>IF(Table1_1[[#This Row],[Amount]]&gt;=4000,"LARGE ORDER","SMALL ORDER")</f>
        <v>SMALL ORDER</v>
      </c>
      <c r="L90" t="str">
        <f>IF(Table1_1[[#This Row],[Status]]="COMPLETED","REVENUE REALISED","AWAITING COMPLETION")</f>
        <v>REVENUE REALISED</v>
      </c>
      <c r="M90" t="s">
        <v>414</v>
      </c>
      <c r="N90" t="s">
        <v>53</v>
      </c>
      <c r="O90" t="s">
        <v>18</v>
      </c>
      <c r="P90" t="s">
        <v>61</v>
      </c>
    </row>
    <row r="91" spans="1:16" x14ac:dyDescent="0.3">
      <c r="A91">
        <v>190</v>
      </c>
      <c r="B91" t="s">
        <v>401</v>
      </c>
      <c r="C91" s="1">
        <v>46097</v>
      </c>
      <c r="D91" s="1">
        <v>46101</v>
      </c>
      <c r="E91" s="1" t="str">
        <f>IF(Table1_1[[#This Row],[TODAYS DATE]]-Table1_1[[#This Row],[Date]]&gt;7,"OLD ORDER","RECENT ORDER")</f>
        <v>RECENT ORDER</v>
      </c>
      <c r="F91" s="2">
        <f>SUMIF(Table1_1[Date],C93,Table1_1[Amount])</f>
        <v>26244</v>
      </c>
      <c r="G91" s="1" t="str">
        <f>IF(WEEKDAY(Table1_1[[#This Row],[Date]])&gt;5,"WEEKEND","WEEKDAY")</f>
        <v>WEEKDAY</v>
      </c>
      <c r="H91">
        <v>9494960671</v>
      </c>
      <c r="I91" t="s">
        <v>221</v>
      </c>
      <c r="J91">
        <v>4964</v>
      </c>
      <c r="K91" t="str">
        <f>IF(Table1_1[[#This Row],[Amount]]&gt;=4000,"LARGE ORDER","SMALL ORDER")</f>
        <v>LARGE ORDER</v>
      </c>
      <c r="L91" t="str">
        <f>IF(Table1_1[[#This Row],[Status]]="COMPLETED","REVENUE REALISED","AWAITING COMPLETION")</f>
        <v>AWAITING COMPLETION</v>
      </c>
      <c r="M91" t="s">
        <v>414</v>
      </c>
      <c r="N91" t="s">
        <v>73</v>
      </c>
      <c r="O91" t="s">
        <v>3</v>
      </c>
      <c r="P91" t="s">
        <v>37</v>
      </c>
    </row>
    <row r="92" spans="1:16" x14ac:dyDescent="0.3">
      <c r="A92">
        <v>191</v>
      </c>
      <c r="B92" t="s">
        <v>399</v>
      </c>
      <c r="C92" s="1">
        <v>46092</v>
      </c>
      <c r="D92" s="1">
        <v>46101</v>
      </c>
      <c r="E92" s="1" t="str">
        <f>IF(Table1_1[[#This Row],[TODAYS DATE]]-Table1_1[[#This Row],[Date]]&gt;7,"OLD ORDER","RECENT ORDER")</f>
        <v>OLD ORDER</v>
      </c>
      <c r="F92" s="2">
        <f>SUMIF(Table1_1[Date],C94,Table1_1[Amount])</f>
        <v>40941</v>
      </c>
      <c r="G92" s="1" t="str">
        <f>IF(WEEKDAY(Table1_1[[#This Row],[Date]])&gt;5,"WEEKEND","WEEKDAY")</f>
        <v>WEEKDAY</v>
      </c>
      <c r="H92">
        <v>9194067</v>
      </c>
      <c r="I92" t="s">
        <v>408</v>
      </c>
      <c r="J92">
        <v>1860</v>
      </c>
      <c r="K92" t="str">
        <f>IF(Table1_1[[#This Row],[Amount]]&gt;=4000,"LARGE ORDER","SMALL ORDER")</f>
        <v>SMALL ORDER</v>
      </c>
      <c r="L92" t="str">
        <f>IF(Table1_1[[#This Row],[Status]]="COMPLETED","REVENUE REALISED","AWAITING COMPLETION")</f>
        <v>REVENUE REALISED</v>
      </c>
      <c r="M92" t="s">
        <v>414</v>
      </c>
      <c r="N92" t="s">
        <v>73</v>
      </c>
      <c r="O92" t="s">
        <v>74</v>
      </c>
      <c r="P92" t="s">
        <v>61</v>
      </c>
    </row>
    <row r="93" spans="1:16" x14ac:dyDescent="0.3">
      <c r="A93">
        <v>192</v>
      </c>
      <c r="B93" t="s">
        <v>397</v>
      </c>
      <c r="C93" s="1">
        <v>46096</v>
      </c>
      <c r="D93" s="1">
        <v>46101</v>
      </c>
      <c r="E93" s="1" t="str">
        <f>IF(Table1_1[[#This Row],[TODAYS DATE]]-Table1_1[[#This Row],[Date]]&gt;7,"OLD ORDER","RECENT ORDER")</f>
        <v>RECENT ORDER</v>
      </c>
      <c r="F93" s="2">
        <f>SUMIF(Table1_1[Date],C95,Table1_1[Amount])</f>
        <v>40941</v>
      </c>
      <c r="G93" s="1" t="str">
        <f>IF(WEEKDAY(Table1_1[[#This Row],[Date]])&gt;5,"WEEKEND","WEEKDAY")</f>
        <v>WEEKDAY</v>
      </c>
      <c r="H93">
        <v>9168078316</v>
      </c>
      <c r="I93" t="s">
        <v>172</v>
      </c>
      <c r="J93">
        <v>4297</v>
      </c>
      <c r="K93" t="str">
        <f>IF(Table1_1[[#This Row],[Amount]]&gt;=4000,"LARGE ORDER","SMALL ORDER")</f>
        <v>LARGE ORDER</v>
      </c>
      <c r="L93" t="str">
        <f>IF(Table1_1[[#This Row],[Status]]="COMPLETED","REVENUE REALISED","AWAITING COMPLETION")</f>
        <v>AWAITING COMPLETION</v>
      </c>
      <c r="M93" t="s">
        <v>52</v>
      </c>
      <c r="N93" t="s">
        <v>53</v>
      </c>
      <c r="O93" t="s">
        <v>74</v>
      </c>
      <c r="P93" t="s">
        <v>136</v>
      </c>
    </row>
    <row r="94" spans="1:16" x14ac:dyDescent="0.3">
      <c r="A94">
        <v>193</v>
      </c>
      <c r="B94" t="s">
        <v>82</v>
      </c>
      <c r="C94" s="1">
        <v>46090</v>
      </c>
      <c r="D94" s="1">
        <v>46101</v>
      </c>
      <c r="E94" s="1" t="str">
        <f>IF(Table1_1[[#This Row],[TODAYS DATE]]-Table1_1[[#This Row],[Date]]&gt;7,"OLD ORDER","RECENT ORDER")</f>
        <v>OLD ORDER</v>
      </c>
      <c r="F94" s="2">
        <f>SUMIF(Table1_1[Date],C96,Table1_1[Amount])</f>
        <v>26244</v>
      </c>
      <c r="G94" s="1" t="str">
        <f>IF(WEEKDAY(Table1_1[[#This Row],[Date]])&gt;5,"WEEKEND","WEEKDAY")</f>
        <v>WEEKDAY</v>
      </c>
      <c r="H94">
        <v>9941979625</v>
      </c>
      <c r="I94" t="s">
        <v>292</v>
      </c>
      <c r="J94">
        <v>3333</v>
      </c>
      <c r="K94" t="str">
        <f>IF(Table1_1[[#This Row],[Amount]]&gt;=4000,"LARGE ORDER","SMALL ORDER")</f>
        <v>SMALL ORDER</v>
      </c>
      <c r="L94" t="str">
        <f>IF(Table1_1[[#This Row],[Status]]="COMPLETED","REVENUE REALISED","AWAITING COMPLETION")</f>
        <v>REVENUE REALISED</v>
      </c>
      <c r="M94" t="s">
        <v>26</v>
      </c>
      <c r="N94" t="s">
        <v>409</v>
      </c>
      <c r="O94" t="s">
        <v>74</v>
      </c>
      <c r="P94" t="s">
        <v>61</v>
      </c>
    </row>
    <row r="95" spans="1:16" x14ac:dyDescent="0.3">
      <c r="A95">
        <v>194</v>
      </c>
      <c r="B95" t="s">
        <v>21</v>
      </c>
      <c r="C95" s="1">
        <v>46090</v>
      </c>
      <c r="D95" s="1">
        <v>46101</v>
      </c>
      <c r="E95" s="1" t="str">
        <f>IF(Table1_1[[#This Row],[TODAYS DATE]]-Table1_1[[#This Row],[Date]]&gt;7,"OLD ORDER","RECENT ORDER")</f>
        <v>OLD ORDER</v>
      </c>
      <c r="F95" s="2">
        <f>SUMIF(Table1_1[Date],C97,Table1_1[Amount])</f>
        <v>20829</v>
      </c>
      <c r="G95" s="1" t="str">
        <f>IF(WEEKDAY(Table1_1[[#This Row],[Date]])&gt;5,"WEEKEND","WEEKDAY")</f>
        <v>WEEKDAY</v>
      </c>
      <c r="H95">
        <v>9210958992</v>
      </c>
      <c r="I95" t="s">
        <v>404</v>
      </c>
      <c r="J95">
        <v>2933</v>
      </c>
      <c r="K95" t="str">
        <f>IF(Table1_1[[#This Row],[Amount]]&gt;=4000,"LARGE ORDER","SMALL ORDER")</f>
        <v>SMALL ORDER</v>
      </c>
      <c r="L95" t="str">
        <f>IF(Table1_1[[#This Row],[Status]]="COMPLETED","REVENUE REALISED","AWAITING COMPLETION")</f>
        <v>AWAITING COMPLETION</v>
      </c>
      <c r="M95" t="s">
        <v>418</v>
      </c>
      <c r="N95" t="s">
        <v>73</v>
      </c>
      <c r="O95" t="s">
        <v>18</v>
      </c>
      <c r="P95" t="s">
        <v>136</v>
      </c>
    </row>
    <row r="96" spans="1:16" x14ac:dyDescent="0.3">
      <c r="A96">
        <v>195</v>
      </c>
      <c r="B96" t="s">
        <v>416</v>
      </c>
      <c r="C96" s="1">
        <v>46096</v>
      </c>
      <c r="D96" s="1">
        <v>46101</v>
      </c>
      <c r="E96" s="1" t="str">
        <f>IF(Table1_1[[#This Row],[TODAYS DATE]]-Table1_1[[#This Row],[Date]]&gt;7,"OLD ORDER","RECENT ORDER")</f>
        <v>RECENT ORDER</v>
      </c>
      <c r="F96" s="2">
        <f>SUMIF(Table1_1[Date],C98,Table1_1[Amount])</f>
        <v>43430</v>
      </c>
      <c r="G96" s="1" t="str">
        <f>IF(WEEKDAY(Table1_1[[#This Row],[Date]])&gt;5,"WEEKEND","WEEKDAY")</f>
        <v>WEEKDAY</v>
      </c>
      <c r="H96">
        <v>9066163301</v>
      </c>
      <c r="I96" t="s">
        <v>417</v>
      </c>
      <c r="J96">
        <v>4870</v>
      </c>
      <c r="K96" t="str">
        <f>IF(Table1_1[[#This Row],[Amount]]&gt;=4000,"LARGE ORDER","SMALL ORDER")</f>
        <v>LARGE ORDER</v>
      </c>
      <c r="L96" t="str">
        <f>IF(Table1_1[[#This Row],[Status]]="COMPLETED","REVENUE REALISED","AWAITING COMPLETION")</f>
        <v>AWAITING COMPLETION</v>
      </c>
      <c r="M96" t="s">
        <v>52</v>
      </c>
      <c r="N96" t="s">
        <v>53</v>
      </c>
      <c r="O96" t="s">
        <v>98</v>
      </c>
      <c r="P96" t="s">
        <v>136</v>
      </c>
    </row>
    <row r="97" spans="1:16" x14ac:dyDescent="0.3">
      <c r="A97">
        <v>196</v>
      </c>
      <c r="B97" t="s">
        <v>138</v>
      </c>
      <c r="C97" s="1">
        <v>46094</v>
      </c>
      <c r="D97" s="1">
        <v>46101</v>
      </c>
      <c r="E97" s="1" t="str">
        <f>IF(Table1_1[[#This Row],[TODAYS DATE]]-Table1_1[[#This Row],[Date]]&gt;7,"OLD ORDER","RECENT ORDER")</f>
        <v>RECENT ORDER</v>
      </c>
      <c r="F97" s="2">
        <f>SUMIF(Table1_1[Date],C99,Table1_1[Amount])</f>
        <v>37129</v>
      </c>
      <c r="G97" s="1" t="str">
        <f>IF(WEEKDAY(Table1_1[[#This Row],[Date]])&gt;5,"WEEKEND","WEEKDAY")</f>
        <v>WEEKEND</v>
      </c>
      <c r="H97">
        <v>982522784</v>
      </c>
      <c r="I97" t="s">
        <v>140</v>
      </c>
      <c r="J97">
        <v>3051</v>
      </c>
      <c r="K97" t="str">
        <f>IF(Table1_1[[#This Row],[Amount]]&gt;=4000,"LARGE ORDER","SMALL ORDER")</f>
        <v>SMALL ORDER</v>
      </c>
      <c r="L97" t="str">
        <f>IF(Table1_1[[#This Row],[Status]]="COMPLETED","REVENUE REALISED","AWAITING COMPLETION")</f>
        <v>REVENUE REALISED</v>
      </c>
      <c r="M97" t="s">
        <v>407</v>
      </c>
      <c r="N97" t="s">
        <v>53</v>
      </c>
      <c r="O97" t="s">
        <v>3</v>
      </c>
      <c r="P97" t="s">
        <v>61</v>
      </c>
    </row>
    <row r="98" spans="1:16" x14ac:dyDescent="0.3">
      <c r="A98">
        <v>197</v>
      </c>
      <c r="B98" t="s">
        <v>415</v>
      </c>
      <c r="C98" s="1">
        <v>46095</v>
      </c>
      <c r="D98" s="1">
        <v>46101</v>
      </c>
      <c r="E98" s="1" t="str">
        <f>IF(Table1_1[[#This Row],[TODAYS DATE]]-Table1_1[[#This Row],[Date]]&gt;7,"OLD ORDER","RECENT ORDER")</f>
        <v>RECENT ORDER</v>
      </c>
      <c r="F98" s="2">
        <f>SUMIF(Table1_1[Date],C100,Table1_1[Amount])</f>
        <v>49303</v>
      </c>
      <c r="G98" s="1" t="str">
        <f>IF(WEEKDAY(Table1_1[[#This Row],[Date]])&gt;5,"WEEKEND","WEEKDAY")</f>
        <v>WEEKEND</v>
      </c>
      <c r="H98">
        <v>998012810</v>
      </c>
      <c r="I98" t="s">
        <v>420</v>
      </c>
      <c r="J98">
        <v>1018</v>
      </c>
      <c r="K98" t="str">
        <f>IF(Table1_1[[#This Row],[Amount]]&gt;=4000,"LARGE ORDER","SMALL ORDER")</f>
        <v>SMALL ORDER</v>
      </c>
      <c r="L98" t="str">
        <f>IF(Table1_1[[#This Row],[Status]]="COMPLETED","REVENUE REALISED","AWAITING COMPLETION")</f>
        <v>AWAITING COMPLETION</v>
      </c>
      <c r="M98" t="s">
        <v>405</v>
      </c>
      <c r="N98" t="s">
        <v>53</v>
      </c>
      <c r="O98" t="s">
        <v>18</v>
      </c>
      <c r="P98" t="s">
        <v>37</v>
      </c>
    </row>
    <row r="99" spans="1:16" x14ac:dyDescent="0.3">
      <c r="A99">
        <v>198</v>
      </c>
      <c r="B99" t="s">
        <v>416</v>
      </c>
      <c r="C99" s="1">
        <v>46097</v>
      </c>
      <c r="D99" s="1">
        <v>46101</v>
      </c>
      <c r="E99" s="1" t="str">
        <f>IF(Table1_1[[#This Row],[TODAYS DATE]]-Table1_1[[#This Row],[Date]]&gt;7,"OLD ORDER","RECENT ORDER")</f>
        <v>RECENT ORDER</v>
      </c>
      <c r="F99" s="2">
        <f>SUMIF(Table1_1[Date],C101,Table1_1[Amount])</f>
        <v>18785</v>
      </c>
      <c r="G99" s="1" t="str">
        <f>IF(WEEKDAY(Table1_1[[#This Row],[Date]])&gt;5,"WEEKEND","WEEKDAY")</f>
        <v>WEEKDAY</v>
      </c>
      <c r="H99">
        <v>9491692372</v>
      </c>
      <c r="I99" t="s">
        <v>145</v>
      </c>
      <c r="J99">
        <v>4753</v>
      </c>
      <c r="K99" t="str">
        <f>IF(Table1_1[[#This Row],[Amount]]&gt;=4000,"LARGE ORDER","SMALL ORDER")</f>
        <v>LARGE ORDER</v>
      </c>
      <c r="L99" t="str">
        <f>IF(Table1_1[[#This Row],[Status]]="COMPLETED","REVENUE REALISED","AWAITING COMPLETION")</f>
        <v>REVENUE REALISED</v>
      </c>
      <c r="M99" t="s">
        <v>86</v>
      </c>
      <c r="N99" t="s">
        <v>73</v>
      </c>
      <c r="O99" t="s">
        <v>3</v>
      </c>
      <c r="P99" t="s">
        <v>61</v>
      </c>
    </row>
    <row r="100" spans="1:16" x14ac:dyDescent="0.3">
      <c r="A100">
        <v>199</v>
      </c>
      <c r="B100" t="s">
        <v>82</v>
      </c>
      <c r="C100" s="1">
        <v>46091</v>
      </c>
      <c r="D100" s="1">
        <v>46101</v>
      </c>
      <c r="E100" s="1" t="str">
        <f>IF(Table1_1[[#This Row],[TODAYS DATE]]-Table1_1[[#This Row],[Date]]&gt;7,"OLD ORDER","RECENT ORDER")</f>
        <v>OLD ORDER</v>
      </c>
      <c r="F100" s="2">
        <f>SUMIF(Table1_1[Date],C102,Table1_1[Amount])</f>
        <v>0</v>
      </c>
      <c r="G100" s="1" t="str">
        <f>IF(WEEKDAY(Table1_1[[#This Row],[Date]])&gt;5,"WEEKEND","WEEKDAY")</f>
        <v>WEEKDAY</v>
      </c>
      <c r="H100">
        <v>9796360</v>
      </c>
      <c r="I100" t="s">
        <v>410</v>
      </c>
      <c r="J100">
        <v>5339</v>
      </c>
      <c r="K100" t="str">
        <f>IF(Table1_1[[#This Row],[Amount]]&gt;=4000,"LARGE ORDER","SMALL ORDER")</f>
        <v>LARGE ORDER</v>
      </c>
      <c r="L100" t="str">
        <f>IF(Table1_1[[#This Row],[Status]]="COMPLETED","REVENUE REALISED","AWAITING COMPLETION")</f>
        <v>REVENUE REALISED</v>
      </c>
      <c r="M100" t="s">
        <v>114</v>
      </c>
      <c r="N100" t="s">
        <v>53</v>
      </c>
      <c r="O100" t="s">
        <v>98</v>
      </c>
      <c r="P100" t="s">
        <v>61</v>
      </c>
    </row>
    <row r="101" spans="1:16" x14ac:dyDescent="0.3">
      <c r="A101">
        <v>200</v>
      </c>
      <c r="B101" t="s">
        <v>138</v>
      </c>
      <c r="C101" s="1">
        <v>46093</v>
      </c>
      <c r="D101" s="1">
        <v>46101</v>
      </c>
      <c r="E101" s="1" t="str">
        <f>IF(Table1_1[[#This Row],[TODAYS DATE]]-Table1_1[[#This Row],[Date]]&gt;7,"OLD ORDER","RECENT ORDER")</f>
        <v>OLD ORDER</v>
      </c>
      <c r="F101" s="2">
        <f>SUMIF(Table1_1[Date],C103,Table1_1[Amount])</f>
        <v>0</v>
      </c>
      <c r="G101" s="1" t="str">
        <f>IF(WEEKDAY(Table1_1[[#This Row],[Date]])&gt;5,"WEEKEND","WEEKDAY")</f>
        <v>WEEKDAY</v>
      </c>
      <c r="H101">
        <v>9547591253</v>
      </c>
      <c r="I101" t="s">
        <v>419</v>
      </c>
      <c r="J101">
        <v>1252</v>
      </c>
      <c r="K101" t="str">
        <f>IF(Table1_1[[#This Row],[Amount]]&gt;=4000,"LARGE ORDER","SMALL ORDER")</f>
        <v>SMALL ORDER</v>
      </c>
      <c r="L101" t="str">
        <f>IF(Table1_1[[#This Row],[Status]]="COMPLETED","REVENUE REALISED","AWAITING COMPLETION")</f>
        <v>AWAITING COMPLETION</v>
      </c>
      <c r="M101" t="s">
        <v>86</v>
      </c>
      <c r="N101" t="s">
        <v>53</v>
      </c>
      <c r="O101" t="s">
        <v>74</v>
      </c>
      <c r="P101" t="s">
        <v>37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J14" sqref="J14"/>
    </sheetView>
  </sheetViews>
  <sheetFormatPr defaultRowHeight="14.4" x14ac:dyDescent="0.3"/>
  <sheetData>
    <row r="1" spans="1:1" x14ac:dyDescent="0.3">
      <c r="A1" t="s">
        <v>424</v>
      </c>
    </row>
    <row r="2" spans="1:1" x14ac:dyDescent="0.3">
      <c r="A2" t="s">
        <v>425</v>
      </c>
    </row>
    <row r="3" spans="1:1" x14ac:dyDescent="0.3">
      <c r="A3" t="s">
        <v>426</v>
      </c>
    </row>
    <row r="4" spans="1:1" x14ac:dyDescent="0.3">
      <c r="A4" t="s">
        <v>427</v>
      </c>
    </row>
    <row r="5" spans="1:1" x14ac:dyDescent="0.3">
      <c r="A5" t="s">
        <v>428</v>
      </c>
    </row>
    <row r="6" spans="1:1" x14ac:dyDescent="0.3">
      <c r="A6" t="s">
        <v>429</v>
      </c>
    </row>
    <row r="7" spans="1:1" x14ac:dyDescent="0.3">
      <c r="A7" t="s">
        <v>430</v>
      </c>
    </row>
    <row r="8" spans="1:1" x14ac:dyDescent="0.3">
      <c r="A8" t="s">
        <v>431</v>
      </c>
    </row>
    <row r="9" spans="1:1" x14ac:dyDescent="0.3">
      <c r="A9" t="s">
        <v>432</v>
      </c>
    </row>
    <row r="10" spans="1:1" x14ac:dyDescent="0.3">
      <c r="A10" t="s">
        <v>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opLeftCell="A90" workbookViewId="0">
      <selection sqref="A1:J101"/>
    </sheetView>
  </sheetViews>
  <sheetFormatPr defaultRowHeight="14.4" x14ac:dyDescent="0.3"/>
  <cols>
    <col min="6" max="6" width="10.33203125" customWidth="1"/>
    <col min="8" max="8" width="9.88671875" customWidth="1"/>
    <col min="9" max="9" width="1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3</v>
      </c>
      <c r="J3" t="s">
        <v>28</v>
      </c>
    </row>
    <row r="4" spans="1:10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27</v>
      </c>
      <c r="I4" t="s">
        <v>36</v>
      </c>
      <c r="J4" t="s">
        <v>37</v>
      </c>
    </row>
    <row r="5" spans="1:10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35</v>
      </c>
      <c r="H5" t="s">
        <v>27</v>
      </c>
      <c r="I5" t="s">
        <v>44</v>
      </c>
      <c r="J5" t="s">
        <v>45</v>
      </c>
    </row>
    <row r="6" spans="1:10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18</v>
      </c>
      <c r="J6" t="s">
        <v>37</v>
      </c>
    </row>
    <row r="7" spans="1:10" x14ac:dyDescent="0.3">
      <c r="A7" t="s">
        <v>54</v>
      </c>
      <c r="B7" t="s">
        <v>21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36</v>
      </c>
      <c r="J7" t="s">
        <v>61</v>
      </c>
    </row>
    <row r="8" spans="1:10" x14ac:dyDescent="0.3">
      <c r="A8" t="s">
        <v>62</v>
      </c>
      <c r="B8" t="s">
        <v>11</v>
      </c>
      <c r="C8" t="s">
        <v>22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28</v>
      </c>
    </row>
    <row r="9" spans="1:10" x14ac:dyDescent="0.3">
      <c r="A9" t="s">
        <v>69</v>
      </c>
      <c r="B9" t="s">
        <v>30</v>
      </c>
      <c r="C9" t="s">
        <v>31</v>
      </c>
      <c r="D9" t="s">
        <v>70</v>
      </c>
      <c r="E9" t="s">
        <v>71</v>
      </c>
      <c r="F9" t="s">
        <v>72</v>
      </c>
      <c r="G9" t="s">
        <v>35</v>
      </c>
      <c r="H9" t="s">
        <v>73</v>
      </c>
      <c r="I9" t="s">
        <v>74</v>
      </c>
      <c r="J9" t="s">
        <v>37</v>
      </c>
    </row>
    <row r="10" spans="1:10" x14ac:dyDescent="0.3">
      <c r="A10" t="s">
        <v>75</v>
      </c>
      <c r="B10" t="s">
        <v>21</v>
      </c>
      <c r="C10" t="s">
        <v>76</v>
      </c>
      <c r="D10" t="s">
        <v>77</v>
      </c>
      <c r="E10" t="s">
        <v>78</v>
      </c>
      <c r="F10" t="s">
        <v>79</v>
      </c>
      <c r="G10" t="s">
        <v>66</v>
      </c>
      <c r="H10" t="s">
        <v>80</v>
      </c>
      <c r="I10" t="s">
        <v>74</v>
      </c>
      <c r="J10" t="s">
        <v>19</v>
      </c>
    </row>
    <row r="11" spans="1:10" x14ac:dyDescent="0.3">
      <c r="A11" t="s">
        <v>81</v>
      </c>
      <c r="B11" t="s">
        <v>82</v>
      </c>
      <c r="C11" t="s">
        <v>31</v>
      </c>
      <c r="D11" t="s">
        <v>83</v>
      </c>
      <c r="E11" t="s">
        <v>84</v>
      </c>
      <c r="F11" t="s">
        <v>85</v>
      </c>
      <c r="G11" t="s">
        <v>86</v>
      </c>
      <c r="H11" t="s">
        <v>17</v>
      </c>
      <c r="I11" t="s">
        <v>3</v>
      </c>
      <c r="J11" t="s">
        <v>28</v>
      </c>
    </row>
    <row r="12" spans="1:10" x14ac:dyDescent="0.3">
      <c r="A12" t="s">
        <v>87</v>
      </c>
      <c r="B12" t="s">
        <v>47</v>
      </c>
      <c r="C12" t="s">
        <v>55</v>
      </c>
      <c r="D12" t="s">
        <v>88</v>
      </c>
      <c r="E12" t="s">
        <v>89</v>
      </c>
      <c r="F12" t="s">
        <v>90</v>
      </c>
      <c r="G12" t="s">
        <v>35</v>
      </c>
      <c r="H12" t="s">
        <v>27</v>
      </c>
      <c r="I12" t="s">
        <v>18</v>
      </c>
      <c r="J12" t="s">
        <v>28</v>
      </c>
    </row>
    <row r="13" spans="1:10" x14ac:dyDescent="0.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17</v>
      </c>
      <c r="I13" t="s">
        <v>98</v>
      </c>
      <c r="J13" t="s">
        <v>28</v>
      </c>
    </row>
    <row r="14" spans="1:10" x14ac:dyDescent="0.3">
      <c r="A14" t="s">
        <v>99</v>
      </c>
      <c r="B14" t="s">
        <v>21</v>
      </c>
      <c r="C14" t="s">
        <v>93</v>
      </c>
      <c r="D14" t="s">
        <v>100</v>
      </c>
      <c r="E14" t="s">
        <v>57</v>
      </c>
      <c r="F14" t="s">
        <v>101</v>
      </c>
      <c r="G14" t="s">
        <v>66</v>
      </c>
      <c r="H14" t="s">
        <v>17</v>
      </c>
      <c r="I14" t="s">
        <v>36</v>
      </c>
      <c r="J14" t="s">
        <v>45</v>
      </c>
    </row>
    <row r="15" spans="1:10" x14ac:dyDescent="0.3">
      <c r="A15" t="s">
        <v>102</v>
      </c>
      <c r="B15" t="s">
        <v>103</v>
      </c>
      <c r="C15" t="s">
        <v>48</v>
      </c>
      <c r="D15" t="s">
        <v>104</v>
      </c>
      <c r="E15" t="s">
        <v>105</v>
      </c>
      <c r="F15" t="s">
        <v>106</v>
      </c>
      <c r="G15" t="s">
        <v>66</v>
      </c>
      <c r="H15" t="s">
        <v>73</v>
      </c>
      <c r="I15" t="s">
        <v>44</v>
      </c>
      <c r="J15" t="s">
        <v>28</v>
      </c>
    </row>
    <row r="16" spans="1:10" x14ac:dyDescent="0.3">
      <c r="A16" t="s">
        <v>107</v>
      </c>
      <c r="B16" t="s">
        <v>21</v>
      </c>
      <c r="C16" t="s">
        <v>22</v>
      </c>
      <c r="D16" t="s">
        <v>108</v>
      </c>
      <c r="E16" t="s">
        <v>57</v>
      </c>
      <c r="F16" t="s">
        <v>109</v>
      </c>
      <c r="G16" t="s">
        <v>66</v>
      </c>
      <c r="H16" t="s">
        <v>17</v>
      </c>
      <c r="I16" t="s">
        <v>3</v>
      </c>
      <c r="J16" t="s">
        <v>37</v>
      </c>
    </row>
    <row r="17" spans="1:10" x14ac:dyDescent="0.3">
      <c r="A17" t="s">
        <v>110</v>
      </c>
      <c r="B17" t="s">
        <v>11</v>
      </c>
      <c r="C17" t="s">
        <v>76</v>
      </c>
      <c r="D17" t="s">
        <v>111</v>
      </c>
      <c r="E17" t="s">
        <v>112</v>
      </c>
      <c r="F17" t="s">
        <v>113</v>
      </c>
      <c r="G17" t="s">
        <v>114</v>
      </c>
      <c r="H17" t="s">
        <v>27</v>
      </c>
      <c r="I17" t="s">
        <v>98</v>
      </c>
      <c r="J17" t="s">
        <v>61</v>
      </c>
    </row>
    <row r="18" spans="1:10" x14ac:dyDescent="0.3">
      <c r="A18" t="s">
        <v>115</v>
      </c>
      <c r="B18" t="s">
        <v>47</v>
      </c>
      <c r="C18" t="s">
        <v>12</v>
      </c>
      <c r="D18" t="s">
        <v>116</v>
      </c>
      <c r="E18" t="s">
        <v>50</v>
      </c>
      <c r="F18" t="s">
        <v>117</v>
      </c>
      <c r="G18" t="s">
        <v>52</v>
      </c>
      <c r="H18" t="s">
        <v>60</v>
      </c>
      <c r="I18" t="s">
        <v>98</v>
      </c>
      <c r="J18" t="s">
        <v>45</v>
      </c>
    </row>
    <row r="19" spans="1:10" x14ac:dyDescent="0.3">
      <c r="A19" t="s">
        <v>118</v>
      </c>
      <c r="B19" t="s">
        <v>11</v>
      </c>
      <c r="C19" t="s">
        <v>119</v>
      </c>
      <c r="D19" t="s">
        <v>120</v>
      </c>
      <c r="E19" t="s">
        <v>14</v>
      </c>
      <c r="F19" t="s">
        <v>121</v>
      </c>
      <c r="G19" t="s">
        <v>97</v>
      </c>
      <c r="H19" t="s">
        <v>67</v>
      </c>
      <c r="I19" t="s">
        <v>74</v>
      </c>
      <c r="J19" t="s">
        <v>19</v>
      </c>
    </row>
    <row r="20" spans="1:10" x14ac:dyDescent="0.3">
      <c r="A20" t="s">
        <v>122</v>
      </c>
      <c r="B20" t="s">
        <v>11</v>
      </c>
      <c r="C20" t="s">
        <v>40</v>
      </c>
      <c r="D20" t="s">
        <v>123</v>
      </c>
      <c r="E20" t="s">
        <v>112</v>
      </c>
      <c r="F20" t="s">
        <v>124</v>
      </c>
      <c r="G20" t="s">
        <v>35</v>
      </c>
      <c r="H20" t="s">
        <v>60</v>
      </c>
      <c r="I20" t="s">
        <v>125</v>
      </c>
      <c r="J20" t="s">
        <v>45</v>
      </c>
    </row>
    <row r="21" spans="1:10" x14ac:dyDescent="0.3">
      <c r="A21" t="s">
        <v>126</v>
      </c>
      <c r="B21" t="s">
        <v>21</v>
      </c>
      <c r="C21" t="s">
        <v>55</v>
      </c>
      <c r="D21" t="s">
        <v>127</v>
      </c>
      <c r="E21" t="s">
        <v>78</v>
      </c>
      <c r="F21" t="s">
        <v>128</v>
      </c>
      <c r="G21" t="s">
        <v>66</v>
      </c>
      <c r="H21" t="s">
        <v>129</v>
      </c>
      <c r="I21" t="s">
        <v>44</v>
      </c>
      <c r="J21" t="s">
        <v>37</v>
      </c>
    </row>
    <row r="22" spans="1:10" x14ac:dyDescent="0.3">
      <c r="A22" t="s">
        <v>130</v>
      </c>
      <c r="B22" t="s">
        <v>47</v>
      </c>
      <c r="C22" t="s">
        <v>76</v>
      </c>
      <c r="D22" t="s">
        <v>131</v>
      </c>
      <c r="E22" t="s">
        <v>50</v>
      </c>
      <c r="F22" t="s">
        <v>132</v>
      </c>
      <c r="G22" t="s">
        <v>86</v>
      </c>
      <c r="H22" t="s">
        <v>17</v>
      </c>
      <c r="I22" t="s">
        <v>18</v>
      </c>
      <c r="J22" t="s">
        <v>61</v>
      </c>
    </row>
    <row r="23" spans="1:10" x14ac:dyDescent="0.3">
      <c r="A23" t="s">
        <v>133</v>
      </c>
      <c r="B23" t="s">
        <v>103</v>
      </c>
      <c r="C23" t="s">
        <v>31</v>
      </c>
      <c r="D23" t="s">
        <v>134</v>
      </c>
      <c r="E23" t="s">
        <v>105</v>
      </c>
      <c r="F23" t="s">
        <v>135</v>
      </c>
      <c r="G23" t="s">
        <v>66</v>
      </c>
      <c r="H23" t="s">
        <v>129</v>
      </c>
      <c r="I23" t="s">
        <v>98</v>
      </c>
      <c r="J23" t="s">
        <v>136</v>
      </c>
    </row>
    <row r="24" spans="1:10" x14ac:dyDescent="0.3">
      <c r="A24" t="s">
        <v>137</v>
      </c>
      <c r="B24" t="s">
        <v>138</v>
      </c>
      <c r="C24" t="s">
        <v>48</v>
      </c>
      <c r="D24" t="s">
        <v>139</v>
      </c>
      <c r="E24" t="s">
        <v>140</v>
      </c>
      <c r="F24" t="s">
        <v>141</v>
      </c>
      <c r="G24" t="s">
        <v>26</v>
      </c>
      <c r="H24" t="s">
        <v>73</v>
      </c>
      <c r="I24" t="s">
        <v>68</v>
      </c>
      <c r="J24" t="s">
        <v>136</v>
      </c>
    </row>
    <row r="25" spans="1:10" x14ac:dyDescent="0.3">
      <c r="A25" t="s">
        <v>142</v>
      </c>
      <c r="B25" t="s">
        <v>143</v>
      </c>
      <c r="C25" t="s">
        <v>31</v>
      </c>
      <c r="D25" t="s">
        <v>144</v>
      </c>
      <c r="E25" t="s">
        <v>145</v>
      </c>
      <c r="F25" t="s">
        <v>146</v>
      </c>
      <c r="G25" t="s">
        <v>35</v>
      </c>
      <c r="H25" t="s">
        <v>67</v>
      </c>
      <c r="I25" t="s">
        <v>68</v>
      </c>
      <c r="J25" t="s">
        <v>61</v>
      </c>
    </row>
    <row r="26" spans="1:10" x14ac:dyDescent="0.3">
      <c r="A26" t="s">
        <v>147</v>
      </c>
      <c r="B26" t="s">
        <v>92</v>
      </c>
      <c r="C26" t="s">
        <v>76</v>
      </c>
      <c r="D26" t="s">
        <v>148</v>
      </c>
      <c r="E26" t="s">
        <v>95</v>
      </c>
      <c r="F26" t="s">
        <v>149</v>
      </c>
      <c r="G26" t="s">
        <v>86</v>
      </c>
      <c r="H26" t="s">
        <v>129</v>
      </c>
      <c r="I26" t="s">
        <v>74</v>
      </c>
      <c r="J26" t="s">
        <v>61</v>
      </c>
    </row>
    <row r="27" spans="1:10" x14ac:dyDescent="0.3">
      <c r="A27" t="s">
        <v>150</v>
      </c>
      <c r="B27" t="s">
        <v>30</v>
      </c>
      <c r="C27" t="s">
        <v>76</v>
      </c>
      <c r="D27" t="s">
        <v>151</v>
      </c>
      <c r="E27" t="s">
        <v>152</v>
      </c>
      <c r="F27" t="s">
        <v>153</v>
      </c>
      <c r="G27" t="s">
        <v>35</v>
      </c>
      <c r="H27" t="s">
        <v>67</v>
      </c>
      <c r="I27" t="s">
        <v>68</v>
      </c>
      <c r="J27" t="s">
        <v>136</v>
      </c>
    </row>
    <row r="28" spans="1:10" x14ac:dyDescent="0.3">
      <c r="A28" t="s">
        <v>154</v>
      </c>
      <c r="B28" t="s">
        <v>143</v>
      </c>
      <c r="C28" t="s">
        <v>40</v>
      </c>
      <c r="D28" t="s">
        <v>155</v>
      </c>
      <c r="E28" t="s">
        <v>156</v>
      </c>
      <c r="F28" t="s">
        <v>157</v>
      </c>
      <c r="G28" t="s">
        <v>158</v>
      </c>
      <c r="H28" t="s">
        <v>53</v>
      </c>
      <c r="I28" t="s">
        <v>68</v>
      </c>
      <c r="J28" t="s">
        <v>28</v>
      </c>
    </row>
    <row r="29" spans="1:10" x14ac:dyDescent="0.3">
      <c r="A29" t="s">
        <v>159</v>
      </c>
      <c r="B29" t="s">
        <v>47</v>
      </c>
      <c r="C29" t="s">
        <v>160</v>
      </c>
      <c r="D29" t="s">
        <v>161</v>
      </c>
      <c r="E29" t="s">
        <v>50</v>
      </c>
      <c r="F29" t="s">
        <v>162</v>
      </c>
      <c r="G29" t="s">
        <v>16</v>
      </c>
      <c r="H29" t="s">
        <v>27</v>
      </c>
      <c r="I29" t="s">
        <v>18</v>
      </c>
      <c r="J29" t="s">
        <v>136</v>
      </c>
    </row>
    <row r="30" spans="1:10" x14ac:dyDescent="0.3">
      <c r="A30" t="s">
        <v>163</v>
      </c>
      <c r="B30" t="s">
        <v>21</v>
      </c>
      <c r="C30" t="s">
        <v>76</v>
      </c>
      <c r="D30" t="s">
        <v>164</v>
      </c>
      <c r="E30" t="s">
        <v>78</v>
      </c>
      <c r="F30" t="s">
        <v>165</v>
      </c>
      <c r="G30" t="s">
        <v>35</v>
      </c>
      <c r="H30" t="s">
        <v>60</v>
      </c>
      <c r="I30" t="s">
        <v>18</v>
      </c>
      <c r="J30" t="s">
        <v>45</v>
      </c>
    </row>
    <row r="31" spans="1:10" x14ac:dyDescent="0.3">
      <c r="A31" t="s">
        <v>166</v>
      </c>
      <c r="B31" t="s">
        <v>92</v>
      </c>
      <c r="C31" t="s">
        <v>93</v>
      </c>
      <c r="D31" t="s">
        <v>167</v>
      </c>
      <c r="E31" t="s">
        <v>168</v>
      </c>
      <c r="F31" t="s">
        <v>169</v>
      </c>
      <c r="G31" t="s">
        <v>86</v>
      </c>
      <c r="H31" t="s">
        <v>53</v>
      </c>
      <c r="I31" t="s">
        <v>44</v>
      </c>
      <c r="J31" t="s">
        <v>136</v>
      </c>
    </row>
    <row r="32" spans="1:10" x14ac:dyDescent="0.3">
      <c r="A32" t="s">
        <v>170</v>
      </c>
      <c r="B32" t="s">
        <v>11</v>
      </c>
      <c r="C32" t="s">
        <v>22</v>
      </c>
      <c r="D32" t="s">
        <v>171</v>
      </c>
      <c r="E32" t="s">
        <v>172</v>
      </c>
      <c r="F32" t="s">
        <v>173</v>
      </c>
      <c r="G32" t="s">
        <v>35</v>
      </c>
      <c r="H32" t="s">
        <v>53</v>
      </c>
      <c r="I32" t="s">
        <v>98</v>
      </c>
      <c r="J32" t="s">
        <v>45</v>
      </c>
    </row>
    <row r="33" spans="1:10" x14ac:dyDescent="0.3">
      <c r="A33" t="s">
        <v>174</v>
      </c>
      <c r="B33" t="s">
        <v>47</v>
      </c>
      <c r="C33" t="s">
        <v>31</v>
      </c>
      <c r="D33" t="s">
        <v>175</v>
      </c>
      <c r="E33" t="s">
        <v>89</v>
      </c>
      <c r="F33" t="s">
        <v>176</v>
      </c>
      <c r="G33" t="s">
        <v>59</v>
      </c>
      <c r="H33" t="s">
        <v>80</v>
      </c>
      <c r="I33" t="s">
        <v>44</v>
      </c>
      <c r="J33" t="s">
        <v>19</v>
      </c>
    </row>
    <row r="34" spans="1:10" x14ac:dyDescent="0.3">
      <c r="A34" t="s">
        <v>177</v>
      </c>
      <c r="B34" t="s">
        <v>39</v>
      </c>
      <c r="C34" t="s">
        <v>40</v>
      </c>
      <c r="D34" t="s">
        <v>178</v>
      </c>
      <c r="E34" t="s">
        <v>179</v>
      </c>
      <c r="F34" t="s">
        <v>180</v>
      </c>
      <c r="G34" t="s">
        <v>158</v>
      </c>
      <c r="H34" t="s">
        <v>60</v>
      </c>
      <c r="I34" t="s">
        <v>36</v>
      </c>
      <c r="J34" t="s">
        <v>19</v>
      </c>
    </row>
    <row r="35" spans="1:10" x14ac:dyDescent="0.3">
      <c r="A35" t="s">
        <v>181</v>
      </c>
      <c r="B35" t="s">
        <v>21</v>
      </c>
      <c r="C35" t="s">
        <v>48</v>
      </c>
      <c r="D35" t="s">
        <v>182</v>
      </c>
      <c r="E35" t="s">
        <v>78</v>
      </c>
      <c r="F35" t="s">
        <v>183</v>
      </c>
      <c r="G35" t="s">
        <v>86</v>
      </c>
      <c r="H35" t="s">
        <v>129</v>
      </c>
      <c r="I35" t="s">
        <v>68</v>
      </c>
      <c r="J35" t="s">
        <v>28</v>
      </c>
    </row>
    <row r="36" spans="1:10" x14ac:dyDescent="0.3">
      <c r="A36" t="s">
        <v>184</v>
      </c>
      <c r="B36" t="s">
        <v>143</v>
      </c>
      <c r="C36" t="s">
        <v>22</v>
      </c>
      <c r="D36" t="s">
        <v>185</v>
      </c>
      <c r="E36" t="s">
        <v>156</v>
      </c>
      <c r="F36" t="s">
        <v>186</v>
      </c>
      <c r="G36" t="s">
        <v>158</v>
      </c>
      <c r="H36" t="s">
        <v>60</v>
      </c>
      <c r="I36" t="s">
        <v>18</v>
      </c>
      <c r="J36" t="s">
        <v>136</v>
      </c>
    </row>
    <row r="37" spans="1:10" x14ac:dyDescent="0.3">
      <c r="A37" t="s">
        <v>187</v>
      </c>
      <c r="B37" t="s">
        <v>82</v>
      </c>
      <c r="C37" t="s">
        <v>48</v>
      </c>
      <c r="D37" t="s">
        <v>188</v>
      </c>
      <c r="E37" t="s">
        <v>189</v>
      </c>
      <c r="F37" t="s">
        <v>190</v>
      </c>
      <c r="G37" t="s">
        <v>35</v>
      </c>
      <c r="H37" t="s">
        <v>73</v>
      </c>
      <c r="I37" t="s">
        <v>36</v>
      </c>
      <c r="J37" t="s">
        <v>45</v>
      </c>
    </row>
    <row r="38" spans="1:10" x14ac:dyDescent="0.3">
      <c r="A38" t="s">
        <v>191</v>
      </c>
      <c r="B38" t="s">
        <v>143</v>
      </c>
      <c r="C38" t="s">
        <v>76</v>
      </c>
      <c r="D38" t="s">
        <v>192</v>
      </c>
      <c r="E38" t="s">
        <v>193</v>
      </c>
      <c r="F38" t="s">
        <v>194</v>
      </c>
      <c r="G38" t="s">
        <v>59</v>
      </c>
      <c r="H38" t="s">
        <v>53</v>
      </c>
      <c r="I38" t="s">
        <v>98</v>
      </c>
      <c r="J38" t="s">
        <v>19</v>
      </c>
    </row>
    <row r="39" spans="1:10" x14ac:dyDescent="0.3">
      <c r="A39" t="s">
        <v>195</v>
      </c>
      <c r="B39" t="s">
        <v>92</v>
      </c>
      <c r="C39" t="s">
        <v>48</v>
      </c>
      <c r="D39" t="s">
        <v>196</v>
      </c>
      <c r="E39" t="s">
        <v>197</v>
      </c>
      <c r="F39" t="s">
        <v>198</v>
      </c>
      <c r="G39" t="s">
        <v>35</v>
      </c>
      <c r="H39" t="s">
        <v>17</v>
      </c>
      <c r="I39" t="s">
        <v>74</v>
      </c>
      <c r="J39" t="s">
        <v>37</v>
      </c>
    </row>
    <row r="40" spans="1:10" x14ac:dyDescent="0.3">
      <c r="A40" t="s">
        <v>199</v>
      </c>
      <c r="B40" t="s">
        <v>47</v>
      </c>
      <c r="C40" t="s">
        <v>48</v>
      </c>
      <c r="D40" t="s">
        <v>200</v>
      </c>
      <c r="E40" t="s">
        <v>89</v>
      </c>
      <c r="F40" t="s">
        <v>201</v>
      </c>
      <c r="G40" t="s">
        <v>158</v>
      </c>
      <c r="H40" t="s">
        <v>67</v>
      </c>
      <c r="I40" t="s">
        <v>3</v>
      </c>
      <c r="J40" t="s">
        <v>28</v>
      </c>
    </row>
    <row r="41" spans="1:10" x14ac:dyDescent="0.3">
      <c r="A41" t="s">
        <v>202</v>
      </c>
      <c r="B41" t="s">
        <v>138</v>
      </c>
      <c r="C41" t="s">
        <v>93</v>
      </c>
      <c r="D41" t="s">
        <v>203</v>
      </c>
      <c r="E41" t="s">
        <v>204</v>
      </c>
      <c r="F41" t="s">
        <v>205</v>
      </c>
      <c r="G41" t="s">
        <v>86</v>
      </c>
      <c r="H41" t="s">
        <v>80</v>
      </c>
      <c r="I41" t="s">
        <v>68</v>
      </c>
      <c r="J41" t="s">
        <v>136</v>
      </c>
    </row>
    <row r="42" spans="1:10" x14ac:dyDescent="0.3">
      <c r="A42" t="s">
        <v>206</v>
      </c>
      <c r="B42" t="s">
        <v>138</v>
      </c>
      <c r="C42" t="s">
        <v>55</v>
      </c>
      <c r="D42" t="s">
        <v>207</v>
      </c>
      <c r="E42" t="s">
        <v>208</v>
      </c>
      <c r="F42" t="s">
        <v>209</v>
      </c>
      <c r="G42" t="s">
        <v>52</v>
      </c>
      <c r="H42" t="s">
        <v>67</v>
      </c>
      <c r="I42" t="s">
        <v>125</v>
      </c>
      <c r="J42" t="s">
        <v>37</v>
      </c>
    </row>
    <row r="43" spans="1:10" x14ac:dyDescent="0.3">
      <c r="A43" t="s">
        <v>210</v>
      </c>
      <c r="B43" t="s">
        <v>47</v>
      </c>
      <c r="C43" t="s">
        <v>48</v>
      </c>
      <c r="D43" t="s">
        <v>211</v>
      </c>
      <c r="E43" t="s">
        <v>89</v>
      </c>
      <c r="F43" t="s">
        <v>212</v>
      </c>
      <c r="G43" t="s">
        <v>16</v>
      </c>
      <c r="H43" t="s">
        <v>129</v>
      </c>
      <c r="I43" t="s">
        <v>18</v>
      </c>
      <c r="J43" t="s">
        <v>28</v>
      </c>
    </row>
    <row r="44" spans="1:10" x14ac:dyDescent="0.3">
      <c r="A44" t="s">
        <v>213</v>
      </c>
      <c r="B44" t="s">
        <v>82</v>
      </c>
      <c r="C44" t="s">
        <v>76</v>
      </c>
      <c r="D44" t="s">
        <v>214</v>
      </c>
      <c r="E44" t="s">
        <v>84</v>
      </c>
      <c r="F44" t="s">
        <v>215</v>
      </c>
      <c r="G44" t="s">
        <v>86</v>
      </c>
      <c r="H44" t="s">
        <v>129</v>
      </c>
      <c r="I44" t="s">
        <v>74</v>
      </c>
      <c r="J44" t="s">
        <v>28</v>
      </c>
    </row>
    <row r="45" spans="1:10" x14ac:dyDescent="0.3">
      <c r="A45" t="s">
        <v>216</v>
      </c>
      <c r="B45" t="s">
        <v>92</v>
      </c>
      <c r="C45" t="s">
        <v>160</v>
      </c>
      <c r="D45" t="s">
        <v>217</v>
      </c>
      <c r="E45" t="s">
        <v>197</v>
      </c>
      <c r="F45" t="s">
        <v>218</v>
      </c>
      <c r="G45" t="s">
        <v>158</v>
      </c>
      <c r="H45" t="s">
        <v>80</v>
      </c>
      <c r="I45" t="s">
        <v>3</v>
      </c>
      <c r="J45" t="s">
        <v>61</v>
      </c>
    </row>
    <row r="46" spans="1:10" x14ac:dyDescent="0.3">
      <c r="A46" t="s">
        <v>219</v>
      </c>
      <c r="B46" t="s">
        <v>39</v>
      </c>
      <c r="C46" t="s">
        <v>76</v>
      </c>
      <c r="D46" t="s">
        <v>220</v>
      </c>
      <c r="E46" t="s">
        <v>221</v>
      </c>
      <c r="F46" t="s">
        <v>222</v>
      </c>
      <c r="G46" t="s">
        <v>114</v>
      </c>
      <c r="H46" t="s">
        <v>60</v>
      </c>
      <c r="I46" t="s">
        <v>36</v>
      </c>
      <c r="J46" t="s">
        <v>19</v>
      </c>
    </row>
    <row r="47" spans="1:10" x14ac:dyDescent="0.3">
      <c r="A47" t="s">
        <v>223</v>
      </c>
      <c r="B47" t="s">
        <v>138</v>
      </c>
      <c r="C47" t="s">
        <v>55</v>
      </c>
      <c r="D47" t="s">
        <v>224</v>
      </c>
      <c r="E47" t="s">
        <v>140</v>
      </c>
      <c r="F47" t="s">
        <v>225</v>
      </c>
      <c r="G47" t="s">
        <v>114</v>
      </c>
      <c r="H47" t="s">
        <v>60</v>
      </c>
      <c r="I47" t="s">
        <v>98</v>
      </c>
      <c r="J47" t="s">
        <v>37</v>
      </c>
    </row>
    <row r="48" spans="1:10" x14ac:dyDescent="0.3">
      <c r="A48" t="s">
        <v>226</v>
      </c>
      <c r="B48" t="s">
        <v>21</v>
      </c>
      <c r="C48" t="s">
        <v>76</v>
      </c>
      <c r="D48" t="s">
        <v>227</v>
      </c>
      <c r="E48" t="s">
        <v>57</v>
      </c>
      <c r="F48" t="s">
        <v>228</v>
      </c>
      <c r="G48" t="s">
        <v>52</v>
      </c>
      <c r="H48" t="s">
        <v>17</v>
      </c>
      <c r="I48" t="s">
        <v>18</v>
      </c>
      <c r="J48" t="s">
        <v>45</v>
      </c>
    </row>
    <row r="49" spans="1:10" x14ac:dyDescent="0.3">
      <c r="A49" t="s">
        <v>229</v>
      </c>
      <c r="B49" t="s">
        <v>11</v>
      </c>
      <c r="C49" t="s">
        <v>160</v>
      </c>
      <c r="D49" t="s">
        <v>230</v>
      </c>
      <c r="E49" t="s">
        <v>172</v>
      </c>
      <c r="F49" t="s">
        <v>231</v>
      </c>
      <c r="G49" t="s">
        <v>66</v>
      </c>
      <c r="H49" t="s">
        <v>80</v>
      </c>
      <c r="I49" t="s">
        <v>44</v>
      </c>
      <c r="J49" t="s">
        <v>37</v>
      </c>
    </row>
    <row r="50" spans="1:10" x14ac:dyDescent="0.3">
      <c r="A50" t="s">
        <v>232</v>
      </c>
      <c r="B50" t="s">
        <v>11</v>
      </c>
      <c r="C50" t="s">
        <v>76</v>
      </c>
      <c r="D50" t="s">
        <v>233</v>
      </c>
      <c r="E50" t="s">
        <v>14</v>
      </c>
      <c r="F50" t="s">
        <v>234</v>
      </c>
      <c r="G50" t="s">
        <v>86</v>
      </c>
      <c r="H50" t="s">
        <v>17</v>
      </c>
      <c r="I50" t="s">
        <v>68</v>
      </c>
      <c r="J50" t="s">
        <v>136</v>
      </c>
    </row>
    <row r="51" spans="1:10" x14ac:dyDescent="0.3">
      <c r="A51" t="s">
        <v>235</v>
      </c>
      <c r="B51" t="s">
        <v>47</v>
      </c>
      <c r="C51" t="s">
        <v>48</v>
      </c>
      <c r="D51" t="s">
        <v>236</v>
      </c>
      <c r="E51" t="s">
        <v>50</v>
      </c>
      <c r="F51" t="s">
        <v>237</v>
      </c>
      <c r="G51" t="s">
        <v>86</v>
      </c>
      <c r="H51" t="s">
        <v>73</v>
      </c>
      <c r="I51" t="s">
        <v>44</v>
      </c>
      <c r="J51" t="s">
        <v>61</v>
      </c>
    </row>
    <row r="52" spans="1:10" x14ac:dyDescent="0.3">
      <c r="A52" t="s">
        <v>238</v>
      </c>
      <c r="B52" t="s">
        <v>39</v>
      </c>
      <c r="C52" t="s">
        <v>48</v>
      </c>
      <c r="D52" t="s">
        <v>239</v>
      </c>
      <c r="E52" t="s">
        <v>240</v>
      </c>
      <c r="F52" t="s">
        <v>241</v>
      </c>
      <c r="G52" t="s">
        <v>35</v>
      </c>
      <c r="H52" t="s">
        <v>129</v>
      </c>
      <c r="I52" t="s">
        <v>68</v>
      </c>
      <c r="J52" t="s">
        <v>45</v>
      </c>
    </row>
    <row r="53" spans="1:10" x14ac:dyDescent="0.3">
      <c r="A53" t="s">
        <v>242</v>
      </c>
      <c r="B53" t="s">
        <v>11</v>
      </c>
      <c r="C53" t="s">
        <v>119</v>
      </c>
      <c r="D53" t="s">
        <v>243</v>
      </c>
      <c r="E53" t="s">
        <v>14</v>
      </c>
      <c r="F53" t="s">
        <v>244</v>
      </c>
      <c r="G53" t="s">
        <v>16</v>
      </c>
      <c r="H53" t="s">
        <v>60</v>
      </c>
      <c r="I53" t="s">
        <v>68</v>
      </c>
      <c r="J53" t="s">
        <v>28</v>
      </c>
    </row>
    <row r="54" spans="1:10" x14ac:dyDescent="0.3">
      <c r="A54" t="s">
        <v>245</v>
      </c>
      <c r="B54" t="s">
        <v>39</v>
      </c>
      <c r="C54" t="s">
        <v>76</v>
      </c>
      <c r="D54" t="s">
        <v>246</v>
      </c>
      <c r="E54" t="s">
        <v>42</v>
      </c>
      <c r="F54" t="s">
        <v>247</v>
      </c>
      <c r="G54" t="s">
        <v>97</v>
      </c>
      <c r="H54" t="s">
        <v>17</v>
      </c>
      <c r="I54" t="s">
        <v>68</v>
      </c>
      <c r="J54" t="s">
        <v>136</v>
      </c>
    </row>
    <row r="55" spans="1:10" x14ac:dyDescent="0.3">
      <c r="A55" t="s">
        <v>248</v>
      </c>
      <c r="B55" t="s">
        <v>39</v>
      </c>
      <c r="C55" t="s">
        <v>31</v>
      </c>
      <c r="D55" t="s">
        <v>249</v>
      </c>
      <c r="E55" t="s">
        <v>221</v>
      </c>
      <c r="F55" t="s">
        <v>250</v>
      </c>
      <c r="G55" t="s">
        <v>26</v>
      </c>
      <c r="H55" t="s">
        <v>129</v>
      </c>
      <c r="I55" t="s">
        <v>125</v>
      </c>
      <c r="J55" t="s">
        <v>19</v>
      </c>
    </row>
    <row r="56" spans="1:10" x14ac:dyDescent="0.3">
      <c r="A56" t="s">
        <v>251</v>
      </c>
      <c r="B56" t="s">
        <v>103</v>
      </c>
      <c r="C56" t="s">
        <v>76</v>
      </c>
      <c r="D56" t="s">
        <v>252</v>
      </c>
      <c r="E56" t="s">
        <v>253</v>
      </c>
      <c r="F56" t="s">
        <v>254</v>
      </c>
      <c r="G56" t="s">
        <v>35</v>
      </c>
      <c r="H56" t="s">
        <v>27</v>
      </c>
      <c r="I56" t="s">
        <v>18</v>
      </c>
      <c r="J56" t="s">
        <v>37</v>
      </c>
    </row>
    <row r="57" spans="1:10" x14ac:dyDescent="0.3">
      <c r="A57" t="s">
        <v>255</v>
      </c>
      <c r="B57" t="s">
        <v>11</v>
      </c>
      <c r="C57" t="s">
        <v>22</v>
      </c>
      <c r="D57" t="s">
        <v>256</v>
      </c>
      <c r="E57" t="s">
        <v>112</v>
      </c>
      <c r="F57" t="s">
        <v>257</v>
      </c>
      <c r="G57" t="s">
        <v>66</v>
      </c>
      <c r="H57" t="s">
        <v>129</v>
      </c>
      <c r="I57" t="s">
        <v>74</v>
      </c>
      <c r="J57" t="s">
        <v>28</v>
      </c>
    </row>
    <row r="58" spans="1:10" x14ac:dyDescent="0.3">
      <c r="A58" t="s">
        <v>258</v>
      </c>
      <c r="B58" t="s">
        <v>82</v>
      </c>
      <c r="C58" t="s">
        <v>119</v>
      </c>
      <c r="D58" t="s">
        <v>259</v>
      </c>
      <c r="E58" t="s">
        <v>189</v>
      </c>
      <c r="F58" t="s">
        <v>260</v>
      </c>
      <c r="G58" t="s">
        <v>59</v>
      </c>
      <c r="H58" t="s">
        <v>80</v>
      </c>
      <c r="I58" t="s">
        <v>74</v>
      </c>
      <c r="J58" t="s">
        <v>28</v>
      </c>
    </row>
    <row r="59" spans="1:10" x14ac:dyDescent="0.3">
      <c r="A59" t="s">
        <v>261</v>
      </c>
      <c r="B59" t="s">
        <v>21</v>
      </c>
      <c r="C59" t="s">
        <v>12</v>
      </c>
      <c r="D59" t="s">
        <v>262</v>
      </c>
      <c r="E59" t="s">
        <v>263</v>
      </c>
      <c r="F59" t="s">
        <v>264</v>
      </c>
      <c r="G59" t="s">
        <v>59</v>
      </c>
      <c r="H59" t="s">
        <v>129</v>
      </c>
      <c r="I59" t="s">
        <v>125</v>
      </c>
      <c r="J59" t="s">
        <v>45</v>
      </c>
    </row>
    <row r="60" spans="1:10" x14ac:dyDescent="0.3">
      <c r="A60" t="s">
        <v>265</v>
      </c>
      <c r="B60" t="s">
        <v>138</v>
      </c>
      <c r="C60" t="s">
        <v>22</v>
      </c>
      <c r="D60" t="s">
        <v>266</v>
      </c>
      <c r="E60" t="s">
        <v>208</v>
      </c>
      <c r="F60" t="s">
        <v>267</v>
      </c>
      <c r="G60" t="s">
        <v>97</v>
      </c>
      <c r="H60" t="s">
        <v>129</v>
      </c>
      <c r="I60" t="s">
        <v>44</v>
      </c>
      <c r="J60" t="s">
        <v>61</v>
      </c>
    </row>
    <row r="61" spans="1:10" x14ac:dyDescent="0.3">
      <c r="A61" t="s">
        <v>268</v>
      </c>
      <c r="B61" t="s">
        <v>82</v>
      </c>
      <c r="C61" t="s">
        <v>55</v>
      </c>
      <c r="D61" t="s">
        <v>269</v>
      </c>
      <c r="E61" t="s">
        <v>270</v>
      </c>
      <c r="F61" t="s">
        <v>271</v>
      </c>
      <c r="G61" t="s">
        <v>16</v>
      </c>
      <c r="H61" t="s">
        <v>129</v>
      </c>
      <c r="I61" t="s">
        <v>68</v>
      </c>
      <c r="J61" t="s">
        <v>28</v>
      </c>
    </row>
    <row r="62" spans="1:10" x14ac:dyDescent="0.3">
      <c r="A62" t="s">
        <v>272</v>
      </c>
      <c r="B62" t="s">
        <v>143</v>
      </c>
      <c r="C62" t="s">
        <v>31</v>
      </c>
      <c r="D62" t="s">
        <v>273</v>
      </c>
      <c r="E62" t="s">
        <v>193</v>
      </c>
      <c r="F62" t="s">
        <v>274</v>
      </c>
      <c r="G62" t="s">
        <v>66</v>
      </c>
      <c r="H62" t="s">
        <v>129</v>
      </c>
      <c r="I62" t="s">
        <v>18</v>
      </c>
      <c r="J62" t="s">
        <v>61</v>
      </c>
    </row>
    <row r="63" spans="1:10" x14ac:dyDescent="0.3">
      <c r="A63" t="s">
        <v>275</v>
      </c>
      <c r="B63" t="s">
        <v>92</v>
      </c>
      <c r="C63" t="s">
        <v>55</v>
      </c>
      <c r="D63" t="s">
        <v>276</v>
      </c>
      <c r="E63" t="s">
        <v>95</v>
      </c>
      <c r="F63" t="s">
        <v>277</v>
      </c>
      <c r="G63" t="s">
        <v>158</v>
      </c>
      <c r="H63" t="s">
        <v>67</v>
      </c>
      <c r="I63" t="s">
        <v>3</v>
      </c>
      <c r="J63" t="s">
        <v>136</v>
      </c>
    </row>
    <row r="64" spans="1:10" x14ac:dyDescent="0.3">
      <c r="A64" t="s">
        <v>278</v>
      </c>
      <c r="B64" t="s">
        <v>39</v>
      </c>
      <c r="C64" t="s">
        <v>22</v>
      </c>
      <c r="D64" t="s">
        <v>279</v>
      </c>
      <c r="E64" t="s">
        <v>42</v>
      </c>
      <c r="F64" t="s">
        <v>280</v>
      </c>
      <c r="G64" t="s">
        <v>158</v>
      </c>
      <c r="H64" t="s">
        <v>17</v>
      </c>
      <c r="I64" t="s">
        <v>74</v>
      </c>
      <c r="J64" t="s">
        <v>61</v>
      </c>
    </row>
    <row r="65" spans="1:10" x14ac:dyDescent="0.3">
      <c r="A65" t="s">
        <v>281</v>
      </c>
      <c r="B65" t="s">
        <v>143</v>
      </c>
      <c r="C65" t="s">
        <v>12</v>
      </c>
      <c r="D65" t="s">
        <v>282</v>
      </c>
      <c r="E65" t="s">
        <v>156</v>
      </c>
      <c r="F65" t="s">
        <v>283</v>
      </c>
      <c r="G65" t="s">
        <v>97</v>
      </c>
      <c r="H65" t="s">
        <v>67</v>
      </c>
      <c r="I65" t="s">
        <v>3</v>
      </c>
      <c r="J65" t="s">
        <v>61</v>
      </c>
    </row>
    <row r="66" spans="1:10" x14ac:dyDescent="0.3">
      <c r="A66" t="s">
        <v>284</v>
      </c>
      <c r="B66" t="s">
        <v>30</v>
      </c>
      <c r="C66" t="s">
        <v>93</v>
      </c>
      <c r="D66" t="s">
        <v>285</v>
      </c>
      <c r="E66" t="s">
        <v>152</v>
      </c>
      <c r="F66" t="s">
        <v>286</v>
      </c>
      <c r="G66" t="s">
        <v>26</v>
      </c>
      <c r="H66" t="s">
        <v>17</v>
      </c>
      <c r="I66" t="s">
        <v>18</v>
      </c>
      <c r="J66" t="s">
        <v>45</v>
      </c>
    </row>
    <row r="67" spans="1:10" x14ac:dyDescent="0.3">
      <c r="A67" t="s">
        <v>287</v>
      </c>
      <c r="B67" t="s">
        <v>82</v>
      </c>
      <c r="C67" t="s">
        <v>48</v>
      </c>
      <c r="D67" t="s">
        <v>288</v>
      </c>
      <c r="E67" t="s">
        <v>270</v>
      </c>
      <c r="F67" t="s">
        <v>289</v>
      </c>
      <c r="G67" t="s">
        <v>16</v>
      </c>
      <c r="H67" t="s">
        <v>17</v>
      </c>
      <c r="I67" t="s">
        <v>74</v>
      </c>
      <c r="J67" t="s">
        <v>45</v>
      </c>
    </row>
    <row r="68" spans="1:10" x14ac:dyDescent="0.3">
      <c r="A68" t="s">
        <v>290</v>
      </c>
      <c r="B68" t="s">
        <v>82</v>
      </c>
      <c r="C68" t="s">
        <v>160</v>
      </c>
      <c r="D68" t="s">
        <v>291</v>
      </c>
      <c r="E68" t="s">
        <v>292</v>
      </c>
      <c r="F68" t="s">
        <v>293</v>
      </c>
      <c r="G68" t="s">
        <v>97</v>
      </c>
      <c r="H68" t="s">
        <v>27</v>
      </c>
      <c r="I68" t="s">
        <v>68</v>
      </c>
      <c r="J68" t="s">
        <v>28</v>
      </c>
    </row>
    <row r="69" spans="1:10" x14ac:dyDescent="0.3">
      <c r="A69" t="s">
        <v>294</v>
      </c>
      <c r="B69" t="s">
        <v>11</v>
      </c>
      <c r="C69" t="s">
        <v>12</v>
      </c>
      <c r="D69" t="s">
        <v>295</v>
      </c>
      <c r="E69" t="s">
        <v>112</v>
      </c>
      <c r="F69" t="s">
        <v>296</v>
      </c>
      <c r="G69" t="s">
        <v>52</v>
      </c>
      <c r="H69" t="s">
        <v>17</v>
      </c>
      <c r="I69" t="s">
        <v>125</v>
      </c>
      <c r="J69" t="s">
        <v>37</v>
      </c>
    </row>
    <row r="70" spans="1:10" x14ac:dyDescent="0.3">
      <c r="A70" t="s">
        <v>297</v>
      </c>
      <c r="B70" t="s">
        <v>21</v>
      </c>
      <c r="C70" t="s">
        <v>31</v>
      </c>
      <c r="D70" t="s">
        <v>298</v>
      </c>
      <c r="E70" t="s">
        <v>24</v>
      </c>
      <c r="F70" t="s">
        <v>299</v>
      </c>
      <c r="G70" t="s">
        <v>35</v>
      </c>
      <c r="H70" t="s">
        <v>27</v>
      </c>
      <c r="I70" t="s">
        <v>44</v>
      </c>
      <c r="J70" t="s">
        <v>37</v>
      </c>
    </row>
    <row r="71" spans="1:10" x14ac:dyDescent="0.3">
      <c r="A71" t="s">
        <v>300</v>
      </c>
      <c r="B71" t="s">
        <v>138</v>
      </c>
      <c r="C71" t="s">
        <v>119</v>
      </c>
      <c r="D71" t="s">
        <v>301</v>
      </c>
      <c r="E71" t="s">
        <v>140</v>
      </c>
      <c r="F71" t="s">
        <v>302</v>
      </c>
      <c r="G71" t="s">
        <v>26</v>
      </c>
      <c r="H71" t="s">
        <v>129</v>
      </c>
      <c r="I71" t="s">
        <v>74</v>
      </c>
      <c r="J71" t="s">
        <v>136</v>
      </c>
    </row>
    <row r="72" spans="1:10" x14ac:dyDescent="0.3">
      <c r="A72" t="s">
        <v>303</v>
      </c>
      <c r="B72" t="s">
        <v>82</v>
      </c>
      <c r="C72" t="s">
        <v>31</v>
      </c>
      <c r="D72" t="s">
        <v>304</v>
      </c>
      <c r="E72" t="s">
        <v>84</v>
      </c>
      <c r="F72" t="s">
        <v>305</v>
      </c>
      <c r="G72" t="s">
        <v>114</v>
      </c>
      <c r="H72" t="s">
        <v>60</v>
      </c>
      <c r="I72" t="s">
        <v>125</v>
      </c>
      <c r="J72" t="s">
        <v>28</v>
      </c>
    </row>
    <row r="73" spans="1:10" x14ac:dyDescent="0.3">
      <c r="A73" t="s">
        <v>306</v>
      </c>
      <c r="B73" t="s">
        <v>82</v>
      </c>
      <c r="C73" t="s">
        <v>31</v>
      </c>
      <c r="D73" t="s">
        <v>307</v>
      </c>
      <c r="E73" t="s">
        <v>84</v>
      </c>
      <c r="F73" t="s">
        <v>308</v>
      </c>
      <c r="G73" t="s">
        <v>35</v>
      </c>
      <c r="H73" t="s">
        <v>129</v>
      </c>
      <c r="I73" t="s">
        <v>36</v>
      </c>
      <c r="J73" t="s">
        <v>19</v>
      </c>
    </row>
    <row r="74" spans="1:10" x14ac:dyDescent="0.3">
      <c r="A74" t="s">
        <v>309</v>
      </c>
      <c r="B74" t="s">
        <v>47</v>
      </c>
      <c r="C74" t="s">
        <v>93</v>
      </c>
      <c r="D74" t="s">
        <v>310</v>
      </c>
      <c r="E74" t="s">
        <v>311</v>
      </c>
      <c r="F74" t="s">
        <v>312</v>
      </c>
      <c r="G74" t="s">
        <v>114</v>
      </c>
      <c r="H74" t="s">
        <v>67</v>
      </c>
      <c r="I74" t="s">
        <v>18</v>
      </c>
      <c r="J74" t="s">
        <v>136</v>
      </c>
    </row>
    <row r="75" spans="1:10" x14ac:dyDescent="0.3">
      <c r="A75" t="s">
        <v>313</v>
      </c>
      <c r="B75" t="s">
        <v>82</v>
      </c>
      <c r="C75" t="s">
        <v>12</v>
      </c>
      <c r="D75" t="s">
        <v>314</v>
      </c>
      <c r="E75" t="s">
        <v>84</v>
      </c>
      <c r="F75" t="s">
        <v>315</v>
      </c>
      <c r="G75" t="s">
        <v>26</v>
      </c>
      <c r="H75" t="s">
        <v>53</v>
      </c>
      <c r="I75" t="s">
        <v>3</v>
      </c>
      <c r="J75" t="s">
        <v>61</v>
      </c>
    </row>
    <row r="76" spans="1:10" x14ac:dyDescent="0.3">
      <c r="A76" t="s">
        <v>316</v>
      </c>
      <c r="B76" t="s">
        <v>39</v>
      </c>
      <c r="C76" t="s">
        <v>31</v>
      </c>
      <c r="D76" t="s">
        <v>317</v>
      </c>
      <c r="E76" t="s">
        <v>240</v>
      </c>
      <c r="F76" t="s">
        <v>318</v>
      </c>
      <c r="G76" t="s">
        <v>66</v>
      </c>
      <c r="H76" t="s">
        <v>27</v>
      </c>
      <c r="I76" t="s">
        <v>36</v>
      </c>
      <c r="J76" t="s">
        <v>37</v>
      </c>
    </row>
    <row r="77" spans="1:10" x14ac:dyDescent="0.3">
      <c r="A77" t="s">
        <v>319</v>
      </c>
      <c r="B77" t="s">
        <v>82</v>
      </c>
      <c r="C77" t="s">
        <v>119</v>
      </c>
      <c r="D77" t="s">
        <v>320</v>
      </c>
      <c r="E77" t="s">
        <v>292</v>
      </c>
      <c r="F77" t="s">
        <v>321</v>
      </c>
      <c r="G77" t="s">
        <v>26</v>
      </c>
      <c r="H77" t="s">
        <v>60</v>
      </c>
      <c r="I77" t="s">
        <v>36</v>
      </c>
      <c r="J77" t="s">
        <v>28</v>
      </c>
    </row>
    <row r="78" spans="1:10" x14ac:dyDescent="0.3">
      <c r="A78" t="s">
        <v>322</v>
      </c>
      <c r="B78" t="s">
        <v>47</v>
      </c>
      <c r="C78" t="s">
        <v>22</v>
      </c>
      <c r="D78" t="s">
        <v>323</v>
      </c>
      <c r="E78" t="s">
        <v>50</v>
      </c>
      <c r="F78" t="s">
        <v>324</v>
      </c>
      <c r="G78" t="s">
        <v>66</v>
      </c>
      <c r="H78" t="s">
        <v>53</v>
      </c>
      <c r="I78" t="s">
        <v>68</v>
      </c>
      <c r="J78" t="s">
        <v>61</v>
      </c>
    </row>
    <row r="79" spans="1:10" x14ac:dyDescent="0.3">
      <c r="A79" t="s">
        <v>325</v>
      </c>
      <c r="B79" t="s">
        <v>11</v>
      </c>
      <c r="C79" t="s">
        <v>93</v>
      </c>
      <c r="D79" t="s">
        <v>326</v>
      </c>
      <c r="E79" t="s">
        <v>64</v>
      </c>
      <c r="F79" t="s">
        <v>327</v>
      </c>
      <c r="G79" t="s">
        <v>158</v>
      </c>
      <c r="H79" t="s">
        <v>129</v>
      </c>
      <c r="I79" t="s">
        <v>68</v>
      </c>
      <c r="J79" t="s">
        <v>136</v>
      </c>
    </row>
    <row r="80" spans="1:10" x14ac:dyDescent="0.3">
      <c r="A80" t="s">
        <v>328</v>
      </c>
      <c r="B80" t="s">
        <v>143</v>
      </c>
      <c r="C80" t="s">
        <v>12</v>
      </c>
      <c r="D80" t="s">
        <v>329</v>
      </c>
      <c r="E80" t="s">
        <v>156</v>
      </c>
      <c r="F80" t="s">
        <v>330</v>
      </c>
      <c r="G80" t="s">
        <v>59</v>
      </c>
      <c r="H80" t="s">
        <v>80</v>
      </c>
      <c r="I80" t="s">
        <v>68</v>
      </c>
      <c r="J80" t="s">
        <v>136</v>
      </c>
    </row>
    <row r="81" spans="1:10" x14ac:dyDescent="0.3">
      <c r="A81" t="s">
        <v>331</v>
      </c>
      <c r="B81" t="s">
        <v>138</v>
      </c>
      <c r="C81" t="s">
        <v>160</v>
      </c>
      <c r="D81" t="s">
        <v>332</v>
      </c>
      <c r="E81" t="s">
        <v>204</v>
      </c>
      <c r="F81" t="s">
        <v>333</v>
      </c>
      <c r="G81" t="s">
        <v>97</v>
      </c>
      <c r="H81" t="s">
        <v>17</v>
      </c>
      <c r="I81" t="s">
        <v>18</v>
      </c>
      <c r="J81" t="s">
        <v>45</v>
      </c>
    </row>
    <row r="82" spans="1:10" x14ac:dyDescent="0.3">
      <c r="A82" t="s">
        <v>334</v>
      </c>
      <c r="B82" t="s">
        <v>82</v>
      </c>
      <c r="C82" t="s">
        <v>12</v>
      </c>
      <c r="D82" t="s">
        <v>335</v>
      </c>
      <c r="E82" t="s">
        <v>189</v>
      </c>
      <c r="F82" t="s">
        <v>336</v>
      </c>
      <c r="G82" t="s">
        <v>66</v>
      </c>
      <c r="H82" t="s">
        <v>129</v>
      </c>
      <c r="I82" t="s">
        <v>18</v>
      </c>
      <c r="J82" t="s">
        <v>37</v>
      </c>
    </row>
    <row r="83" spans="1:10" x14ac:dyDescent="0.3">
      <c r="A83" t="s">
        <v>337</v>
      </c>
      <c r="B83" t="s">
        <v>39</v>
      </c>
      <c r="C83" t="s">
        <v>93</v>
      </c>
      <c r="D83" t="s">
        <v>338</v>
      </c>
      <c r="E83" t="s">
        <v>240</v>
      </c>
      <c r="F83" t="s">
        <v>339</v>
      </c>
      <c r="G83" t="s">
        <v>86</v>
      </c>
      <c r="H83" t="s">
        <v>27</v>
      </c>
      <c r="I83" t="s">
        <v>98</v>
      </c>
      <c r="J83" t="s">
        <v>61</v>
      </c>
    </row>
    <row r="84" spans="1:10" x14ac:dyDescent="0.3">
      <c r="A84" t="s">
        <v>340</v>
      </c>
      <c r="B84" t="s">
        <v>92</v>
      </c>
      <c r="C84" t="s">
        <v>22</v>
      </c>
      <c r="D84" t="s">
        <v>341</v>
      </c>
      <c r="E84" t="s">
        <v>168</v>
      </c>
      <c r="F84" t="s">
        <v>342</v>
      </c>
      <c r="G84" t="s">
        <v>114</v>
      </c>
      <c r="H84" t="s">
        <v>53</v>
      </c>
      <c r="I84" t="s">
        <v>125</v>
      </c>
      <c r="J84" t="s">
        <v>37</v>
      </c>
    </row>
    <row r="85" spans="1:10" x14ac:dyDescent="0.3">
      <c r="A85" t="s">
        <v>343</v>
      </c>
      <c r="B85" t="s">
        <v>92</v>
      </c>
      <c r="C85" t="s">
        <v>93</v>
      </c>
      <c r="D85" t="s">
        <v>344</v>
      </c>
      <c r="E85" t="s">
        <v>168</v>
      </c>
      <c r="F85" t="s">
        <v>345</v>
      </c>
      <c r="G85" t="s">
        <v>86</v>
      </c>
      <c r="H85" t="s">
        <v>129</v>
      </c>
      <c r="I85" t="s">
        <v>36</v>
      </c>
      <c r="J85" t="s">
        <v>45</v>
      </c>
    </row>
    <row r="86" spans="1:10" x14ac:dyDescent="0.3">
      <c r="A86" t="s">
        <v>346</v>
      </c>
      <c r="B86" t="s">
        <v>30</v>
      </c>
      <c r="C86" t="s">
        <v>48</v>
      </c>
      <c r="D86" t="s">
        <v>347</v>
      </c>
      <c r="E86" t="s">
        <v>33</v>
      </c>
      <c r="F86" t="s">
        <v>348</v>
      </c>
      <c r="G86" t="s">
        <v>158</v>
      </c>
      <c r="H86" t="s">
        <v>60</v>
      </c>
      <c r="I86" t="s">
        <v>98</v>
      </c>
      <c r="J86" t="s">
        <v>136</v>
      </c>
    </row>
    <row r="87" spans="1:10" x14ac:dyDescent="0.3">
      <c r="A87" t="s">
        <v>349</v>
      </c>
      <c r="B87" t="s">
        <v>21</v>
      </c>
      <c r="C87" t="s">
        <v>22</v>
      </c>
      <c r="D87" t="s">
        <v>350</v>
      </c>
      <c r="E87" t="s">
        <v>263</v>
      </c>
      <c r="F87" t="s">
        <v>351</v>
      </c>
      <c r="G87" t="s">
        <v>35</v>
      </c>
      <c r="H87" t="s">
        <v>27</v>
      </c>
      <c r="I87" t="s">
        <v>68</v>
      </c>
      <c r="J87" t="s">
        <v>61</v>
      </c>
    </row>
    <row r="88" spans="1:10" x14ac:dyDescent="0.3">
      <c r="A88" t="s">
        <v>352</v>
      </c>
      <c r="B88" t="s">
        <v>39</v>
      </c>
      <c r="C88" t="s">
        <v>48</v>
      </c>
      <c r="D88" t="s">
        <v>353</v>
      </c>
      <c r="E88" t="s">
        <v>221</v>
      </c>
      <c r="F88" t="s">
        <v>354</v>
      </c>
      <c r="G88" t="s">
        <v>59</v>
      </c>
      <c r="H88" t="s">
        <v>53</v>
      </c>
      <c r="I88" t="s">
        <v>98</v>
      </c>
      <c r="J88" t="s">
        <v>136</v>
      </c>
    </row>
    <row r="89" spans="1:10" x14ac:dyDescent="0.3">
      <c r="A89" t="s">
        <v>355</v>
      </c>
      <c r="B89" t="s">
        <v>11</v>
      </c>
      <c r="C89" t="s">
        <v>12</v>
      </c>
      <c r="D89" t="s">
        <v>356</v>
      </c>
      <c r="E89" t="s">
        <v>172</v>
      </c>
      <c r="F89" t="s">
        <v>357</v>
      </c>
      <c r="G89" t="s">
        <v>26</v>
      </c>
      <c r="H89" t="s">
        <v>67</v>
      </c>
      <c r="I89" t="s">
        <v>3</v>
      </c>
      <c r="J89" t="s">
        <v>37</v>
      </c>
    </row>
    <row r="90" spans="1:10" x14ac:dyDescent="0.3">
      <c r="A90" t="s">
        <v>358</v>
      </c>
      <c r="B90" t="s">
        <v>82</v>
      </c>
      <c r="C90" t="s">
        <v>160</v>
      </c>
      <c r="D90" t="s">
        <v>359</v>
      </c>
      <c r="E90" t="s">
        <v>270</v>
      </c>
      <c r="F90" t="s">
        <v>360</v>
      </c>
      <c r="G90" t="s">
        <v>97</v>
      </c>
      <c r="H90" t="s">
        <v>53</v>
      </c>
      <c r="I90" t="s">
        <v>125</v>
      </c>
      <c r="J90" t="s">
        <v>19</v>
      </c>
    </row>
    <row r="91" spans="1:10" x14ac:dyDescent="0.3">
      <c r="A91" t="s">
        <v>361</v>
      </c>
      <c r="B91" t="s">
        <v>39</v>
      </c>
      <c r="C91" t="s">
        <v>93</v>
      </c>
      <c r="D91" t="s">
        <v>362</v>
      </c>
      <c r="E91" t="s">
        <v>221</v>
      </c>
      <c r="F91" t="s">
        <v>363</v>
      </c>
      <c r="G91" t="s">
        <v>97</v>
      </c>
      <c r="H91" t="s">
        <v>17</v>
      </c>
      <c r="I91" t="s">
        <v>68</v>
      </c>
      <c r="J91" t="s">
        <v>45</v>
      </c>
    </row>
    <row r="92" spans="1:10" x14ac:dyDescent="0.3">
      <c r="A92" t="s">
        <v>364</v>
      </c>
      <c r="B92" t="s">
        <v>30</v>
      </c>
      <c r="C92" t="s">
        <v>76</v>
      </c>
      <c r="D92" t="s">
        <v>365</v>
      </c>
      <c r="E92" t="s">
        <v>71</v>
      </c>
      <c r="F92" t="s">
        <v>366</v>
      </c>
      <c r="G92" t="s">
        <v>97</v>
      </c>
      <c r="H92" t="s">
        <v>17</v>
      </c>
      <c r="I92" t="s">
        <v>74</v>
      </c>
      <c r="J92" t="s">
        <v>61</v>
      </c>
    </row>
    <row r="93" spans="1:10" x14ac:dyDescent="0.3">
      <c r="A93" t="s">
        <v>367</v>
      </c>
      <c r="B93" t="s">
        <v>11</v>
      </c>
      <c r="C93" t="s">
        <v>160</v>
      </c>
      <c r="D93" t="s">
        <v>368</v>
      </c>
      <c r="E93" t="s">
        <v>172</v>
      </c>
      <c r="F93" t="s">
        <v>369</v>
      </c>
      <c r="G93" t="s">
        <v>52</v>
      </c>
      <c r="H93" t="s">
        <v>53</v>
      </c>
      <c r="I93" t="s">
        <v>74</v>
      </c>
      <c r="J93" t="s">
        <v>136</v>
      </c>
    </row>
    <row r="94" spans="1:10" x14ac:dyDescent="0.3">
      <c r="A94" t="s">
        <v>370</v>
      </c>
      <c r="B94" t="s">
        <v>82</v>
      </c>
      <c r="C94" t="s">
        <v>12</v>
      </c>
      <c r="D94" t="s">
        <v>371</v>
      </c>
      <c r="E94" t="s">
        <v>292</v>
      </c>
      <c r="F94" t="s">
        <v>372</v>
      </c>
      <c r="G94" t="s">
        <v>26</v>
      </c>
      <c r="H94" t="s">
        <v>73</v>
      </c>
      <c r="I94" t="s">
        <v>44</v>
      </c>
      <c r="J94" t="s">
        <v>28</v>
      </c>
    </row>
    <row r="95" spans="1:10" x14ac:dyDescent="0.3">
      <c r="A95" t="s">
        <v>373</v>
      </c>
      <c r="B95" t="s">
        <v>21</v>
      </c>
      <c r="C95" t="s">
        <v>12</v>
      </c>
      <c r="D95" t="s">
        <v>374</v>
      </c>
      <c r="E95" t="s">
        <v>263</v>
      </c>
      <c r="F95" t="s">
        <v>375</v>
      </c>
      <c r="G95" t="s">
        <v>158</v>
      </c>
      <c r="H95" t="s">
        <v>27</v>
      </c>
      <c r="I95" t="s">
        <v>18</v>
      </c>
      <c r="J95" t="s">
        <v>136</v>
      </c>
    </row>
    <row r="96" spans="1:10" x14ac:dyDescent="0.3">
      <c r="A96" t="s">
        <v>376</v>
      </c>
      <c r="B96" t="s">
        <v>143</v>
      </c>
      <c r="C96" t="s">
        <v>160</v>
      </c>
      <c r="D96" t="s">
        <v>377</v>
      </c>
      <c r="E96" t="s">
        <v>193</v>
      </c>
      <c r="F96" t="s">
        <v>378</v>
      </c>
      <c r="G96" t="s">
        <v>52</v>
      </c>
      <c r="H96" t="s">
        <v>60</v>
      </c>
      <c r="I96" t="s">
        <v>36</v>
      </c>
      <c r="J96" t="s">
        <v>136</v>
      </c>
    </row>
    <row r="97" spans="1:10" x14ac:dyDescent="0.3">
      <c r="A97" t="s">
        <v>379</v>
      </c>
      <c r="B97" t="s">
        <v>138</v>
      </c>
      <c r="C97" t="s">
        <v>119</v>
      </c>
      <c r="D97" t="s">
        <v>380</v>
      </c>
      <c r="E97" t="s">
        <v>208</v>
      </c>
      <c r="F97" t="s">
        <v>381</v>
      </c>
      <c r="G97" t="s">
        <v>66</v>
      </c>
      <c r="H97" t="s">
        <v>129</v>
      </c>
      <c r="I97" t="s">
        <v>3</v>
      </c>
      <c r="J97" t="s">
        <v>19</v>
      </c>
    </row>
    <row r="98" spans="1:10" x14ac:dyDescent="0.3">
      <c r="A98" t="s">
        <v>382</v>
      </c>
      <c r="B98" t="s">
        <v>103</v>
      </c>
      <c r="C98" t="s">
        <v>48</v>
      </c>
      <c r="D98" t="s">
        <v>383</v>
      </c>
      <c r="E98" t="s">
        <v>384</v>
      </c>
      <c r="F98" t="s">
        <v>385</v>
      </c>
      <c r="G98" t="s">
        <v>59</v>
      </c>
      <c r="H98" t="s">
        <v>53</v>
      </c>
      <c r="I98" t="s">
        <v>125</v>
      </c>
      <c r="J98" t="s">
        <v>37</v>
      </c>
    </row>
    <row r="99" spans="1:10" x14ac:dyDescent="0.3">
      <c r="A99" t="s">
        <v>386</v>
      </c>
      <c r="B99" t="s">
        <v>143</v>
      </c>
      <c r="C99" t="s">
        <v>93</v>
      </c>
      <c r="D99" t="s">
        <v>387</v>
      </c>
      <c r="E99" t="s">
        <v>388</v>
      </c>
      <c r="F99" t="s">
        <v>389</v>
      </c>
      <c r="G99" t="s">
        <v>86</v>
      </c>
      <c r="H99" t="s">
        <v>27</v>
      </c>
      <c r="I99" t="s">
        <v>68</v>
      </c>
      <c r="J99" t="s">
        <v>19</v>
      </c>
    </row>
    <row r="100" spans="1:10" x14ac:dyDescent="0.3">
      <c r="A100" t="s">
        <v>390</v>
      </c>
      <c r="B100" t="s">
        <v>82</v>
      </c>
      <c r="C100" t="s">
        <v>31</v>
      </c>
      <c r="D100" t="s">
        <v>391</v>
      </c>
      <c r="E100" t="s">
        <v>84</v>
      </c>
      <c r="F100" t="s">
        <v>392</v>
      </c>
      <c r="G100" t="s">
        <v>114</v>
      </c>
      <c r="H100" t="s">
        <v>129</v>
      </c>
      <c r="I100" t="s">
        <v>98</v>
      </c>
      <c r="J100" t="s">
        <v>28</v>
      </c>
    </row>
    <row r="101" spans="1:10" x14ac:dyDescent="0.3">
      <c r="A101" t="s">
        <v>393</v>
      </c>
      <c r="B101" t="s">
        <v>138</v>
      </c>
      <c r="C101" t="s">
        <v>40</v>
      </c>
      <c r="D101" t="s">
        <v>394</v>
      </c>
      <c r="E101" t="s">
        <v>395</v>
      </c>
      <c r="F101" t="s">
        <v>396</v>
      </c>
      <c r="G101" t="s">
        <v>86</v>
      </c>
      <c r="H101" t="s">
        <v>129</v>
      </c>
      <c r="I101" t="s">
        <v>44</v>
      </c>
      <c r="J101" t="s">
        <v>45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7B2A8C-A95E-4C59-B5FA-8B035162D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MessyData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Ardra p</cp:lastModifiedBy>
  <dcterms:created xsi:type="dcterms:W3CDTF">2026-04-01T15:05:26Z</dcterms:created>
  <dcterms:modified xsi:type="dcterms:W3CDTF">2026-09-27T18:16:12Z</dcterms:modified>
</cp:coreProperties>
</file>