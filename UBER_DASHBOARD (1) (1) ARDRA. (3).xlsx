
<file path=[Content_Types].xml><?xml version="1.0" encoding="utf-8"?>
<Types xmlns="http://schemas.openxmlformats.org/package/2006/content-type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mc:AlternateContent xmlns:mc="http://schemas.openxmlformats.org/markup-compatibility/2006">
    <mc:Choice Requires="x15">
      <x15ac:absPath xmlns:x15ac="http://schemas.microsoft.com/office/spreadsheetml/2010/11/ac" url="C:\Users\ardra\Desktop\EXCEL REPORT\"/>
    </mc:Choice>
  </mc:AlternateContent>
  <bookViews>
    <workbookView xWindow="0" yWindow="0" windowWidth="19344" windowHeight="10464" activeTab="2"/>
  </bookViews>
  <sheets>
    <sheet name="DASHBOARD" sheetId="1" r:id="rId1"/>
    <sheet name="CONTENTS" sheetId="2" r:id="rId2"/>
    <sheet name="Sheet1" sheetId="3" r:id="rId3"/>
  </sheets>
  <definedNames>
    <definedName name="Slicer_City">#N/A</definedName>
    <definedName name="Slicer_Customer_Type">#N/A</definedName>
    <definedName name="Slicer_Payment_Mode">#N/A</definedName>
    <definedName name="Slicer_Status">#N/A</definedName>
    <definedName name="Slicer_Vehicle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6" i="2" l="1"/>
  <c r="C5" i="2"/>
  <c r="C4" i="2"/>
  <c r="C3" i="2"/>
  <c r="C2" i="2"/>
</calcChain>
</file>

<file path=xl/sharedStrings.xml><?xml version="1.0" encoding="utf-8"?>
<sst xmlns="http://schemas.openxmlformats.org/spreadsheetml/2006/main" count="449" uniqueCount="123">
  <si>
    <t>Ride_ID</t>
  </si>
  <si>
    <t>Date</t>
  </si>
  <si>
    <t>City</t>
  </si>
  <si>
    <t>Vehicle_Type</t>
  </si>
  <si>
    <t>Trip_Type</t>
  </si>
  <si>
    <t>Customer_Type</t>
  </si>
  <si>
    <t>Payment_Mode</t>
  </si>
  <si>
    <t>Distance_KM</t>
  </si>
  <si>
    <t>Fare_INR</t>
  </si>
  <si>
    <t>Discount_INR</t>
  </si>
  <si>
    <t>Driver_Rating</t>
  </si>
  <si>
    <t>Customer_Rating</t>
  </si>
  <si>
    <t>Trip_Duration_Min</t>
  </si>
  <si>
    <t>Status</t>
  </si>
  <si>
    <t>UBR001</t>
  </si>
  <si>
    <t>Bengaluru</t>
  </si>
  <si>
    <t>UberGo</t>
  </si>
  <si>
    <t>Regular</t>
  </si>
  <si>
    <t>UPI</t>
  </si>
  <si>
    <t>Completed</t>
  </si>
  <si>
    <t>UBR002</t>
  </si>
  <si>
    <t>Mumbai</t>
  </si>
  <si>
    <t>New</t>
  </si>
  <si>
    <t>Card</t>
  </si>
  <si>
    <t>UBR003</t>
  </si>
  <si>
    <t>Delhi</t>
  </si>
  <si>
    <t>UberXL</t>
  </si>
  <si>
    <t>Airport</t>
  </si>
  <si>
    <t>UBR004</t>
  </si>
  <si>
    <t>Hyderabad</t>
  </si>
  <si>
    <t>Cash</t>
  </si>
  <si>
    <t>UBR005</t>
  </si>
  <si>
    <t>Chennai</t>
  </si>
  <si>
    <t>Premier</t>
  </si>
  <si>
    <t>Premium</t>
  </si>
  <si>
    <t>UBR006</t>
  </si>
  <si>
    <t>Pune</t>
  </si>
  <si>
    <t>UBR007</t>
  </si>
  <si>
    <t>Auto</t>
  </si>
  <si>
    <t>UBR008</t>
  </si>
  <si>
    <t>UBR009</t>
  </si>
  <si>
    <t>UBR010</t>
  </si>
  <si>
    <t>Kochi</t>
  </si>
  <si>
    <t>UBR011</t>
  </si>
  <si>
    <t>UBR012</t>
  </si>
  <si>
    <t>UBR013</t>
  </si>
  <si>
    <t>UBR014</t>
  </si>
  <si>
    <t>UBR015</t>
  </si>
  <si>
    <t>UBR016</t>
  </si>
  <si>
    <t>UBR017</t>
  </si>
  <si>
    <t>Cancelled</t>
  </si>
  <si>
    <t>UBR018</t>
  </si>
  <si>
    <t>UBR019</t>
  </si>
  <si>
    <t>UBR020</t>
  </si>
  <si>
    <t>UBR021</t>
  </si>
  <si>
    <t>UBR022</t>
  </si>
  <si>
    <t>UBR023</t>
  </si>
  <si>
    <t>UBR024</t>
  </si>
  <si>
    <t>UBR025</t>
  </si>
  <si>
    <t>UBR026</t>
  </si>
  <si>
    <t>UBR027</t>
  </si>
  <si>
    <t>UBR028</t>
  </si>
  <si>
    <t>UBR029</t>
  </si>
  <si>
    <t>UBR030</t>
  </si>
  <si>
    <t>UBR031</t>
  </si>
  <si>
    <t>UBR032</t>
  </si>
  <si>
    <t>UBR033</t>
  </si>
  <si>
    <t>UBR034</t>
  </si>
  <si>
    <t>UBR035</t>
  </si>
  <si>
    <t>UBR036</t>
  </si>
  <si>
    <t>UBR037</t>
  </si>
  <si>
    <t>UBR038</t>
  </si>
  <si>
    <t>UBR039</t>
  </si>
  <si>
    <t>UBR040</t>
  </si>
  <si>
    <t>UBR041</t>
  </si>
  <si>
    <t>UBR042</t>
  </si>
  <si>
    <t>UBR043</t>
  </si>
  <si>
    <t>UBR044</t>
  </si>
  <si>
    <t>UBR045</t>
  </si>
  <si>
    <t>UBR046</t>
  </si>
  <si>
    <t>UBR047</t>
  </si>
  <si>
    <t>UBR048</t>
  </si>
  <si>
    <t>UBR049</t>
  </si>
  <si>
    <t>UBR050</t>
  </si>
  <si>
    <t>KPI</t>
  </si>
  <si>
    <t>Calculation</t>
  </si>
  <si>
    <t>Total Rides</t>
  </si>
  <si>
    <t>Count of Ride_ID</t>
  </si>
  <si>
    <t>Completed Rides</t>
  </si>
  <si>
    <t>Count where Status = Completed</t>
  </si>
  <si>
    <t>Total Revenue</t>
  </si>
  <si>
    <t>Sum of Fare_INR</t>
  </si>
  <si>
    <t>Average Fare</t>
  </si>
  <si>
    <t>Average of Fare_INR</t>
  </si>
  <si>
    <t>Average Customer Rating</t>
  </si>
  <si>
    <t>Average of Customer_Rating</t>
  </si>
  <si>
    <t>Chart</t>
  </si>
  <si>
    <t>Fields</t>
  </si>
  <si>
    <t>Revenue by City</t>
  </si>
  <si>
    <t>City + Fare</t>
  </si>
  <si>
    <t>Rides by Vehicle Type</t>
  </si>
  <si>
    <t>Vehicle_Type + Count of Ride_ID</t>
  </si>
  <si>
    <t>Daily Revenue Trend</t>
  </si>
  <si>
    <t>Date + Fare</t>
  </si>
  <si>
    <t>Payment Mode Distribution</t>
  </si>
  <si>
    <t>Payment_Mode + Count of Ride_ID</t>
  </si>
  <si>
    <t>Revenue by Trip Type</t>
  </si>
  <si>
    <t>Trip_Type + Fare</t>
  </si>
  <si>
    <t>Customer Type Distribution</t>
  </si>
  <si>
    <t>Customer_Type + Count of Ride_ID</t>
  </si>
  <si>
    <t>Average Rating by Vehicle</t>
  </si>
  <si>
    <t>Vehicle_Type + Customer_Rating</t>
  </si>
  <si>
    <t>Completed vs Cancelled</t>
  </si>
  <si>
    <t>Status + Count of Ride_ID</t>
  </si>
  <si>
    <t>Recommended Slicers</t>
  </si>
  <si>
    <t>Vehicle Type</t>
  </si>
  <si>
    <t>Trip Type</t>
  </si>
  <si>
    <t>Customer Type</t>
  </si>
  <si>
    <t>Payment Mode</t>
  </si>
  <si>
    <t>answer</t>
  </si>
  <si>
    <t>Row Labels</t>
  </si>
  <si>
    <t>Grand Total</t>
  </si>
  <si>
    <t>Sum of Customer_Rating</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</si>
</sst>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sz val="11"/>
      <color theme="1"/>
      <name val="Aptos Narrow"/>
      <family val="2"/>
      <scheme val="minor"/>
    </font>
    <font>
      <b/>
      <sz val="11"/>
      <color theme="1"/>
      <name val="Aptos Narrow"/>
      <family val="2"/>
      <scheme val="minor"/>
    </font>
    <font>
      <b/>
      <sz val="13.5"/>
      <color theme="1"/>
      <name val="Aptos Narrow"/>
      <family val="2"/>
      <scheme val="minor"/>
    </font>
  </fonts>
  <fills count="3">
    <fill>
      <patternFill patternType="none"/>
    </fill>
    <fill>
      <patternFill patternType="gray125"/>
    </fill>
    <fill>
      <patternFill patternType="solid">
        <fgColor theme="3" tint="0.89999084444715716"/>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7">
    <xf numFmtId="0" fontId="0" fillId="0" borderId="0" xfId="0"/>
    <xf numFmtId="0" fontId="1" fillId="0" borderId="0" xfId="0" applyFont="1" applyAlignment="1">
      <alignment horizontal="center"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0" fontId="0" fillId="0" borderId="0" xfId="0" applyAlignment="1">
      <alignment vertical="center" wrapText="1"/>
    </xf>
    <xf numFmtId="15" fontId="0" fillId="0" borderId="0" xfId="0" applyNumberFormat="1" applyAlignment="1">
      <alignment vertical="center" wrapText="1"/>
    </xf>
    <xf numFmtId="0" fontId="2" fillId="2" borderId="1" xfId="0" applyFont="1" applyFill="1" applyBorder="1" applyAlignment="1">
      <alignment vertical="center"/>
    </xf>
    <xf numFmtId="0" fontId="0" fillId="2" borderId="1" xfId="0" applyFill="1" applyBorder="1" applyAlignment="1">
      <alignment horizontal="left" vertical="center" indent="1"/>
    </xf>
    <xf numFmtId="0" fontId="1" fillId="2" borderId="1" xfId="0" applyFont="1" applyFill="1" applyBorder="1" applyAlignment="1">
      <alignment horizontal="center" vertical="center" wrapText="1"/>
    </xf>
    <xf numFmtId="0" fontId="1" fillId="2" borderId="1" xfId="0" applyFont="1" applyFill="1" applyBorder="1" applyAlignment="1">
      <alignment vertical="center" wrapText="1"/>
    </xf>
    <xf numFmtId="0" fontId="0" fillId="2" borderId="1" xfId="0" applyFill="1" applyBorder="1" applyAlignment="1">
      <alignment vertical="center" wrapText="1"/>
    </xf>
    <xf numFmtId="0" fontId="1" fillId="2" borderId="2" xfId="0" applyFont="1" applyFill="1" applyBorder="1" applyAlignment="1">
      <alignment horizontal="center" vertical="center" wrapText="1"/>
    </xf>
    <xf numFmtId="0" fontId="0" fillId="2" borderId="2" xfId="0" applyFill="1" applyBorder="1" applyAlignment="1">
      <alignment vertical="center" wrapText="1"/>
    </xf>
    <xf numFmtId="0" fontId="0" fillId="0" borderId="0" xfId="0" pivotButton="1"/>
    <xf numFmtId="0" fontId="0" fillId="0" borderId="0" xfId="0" applyAlignment="1">
      <alignment horizontal="left"/>
    </xf>
    <xf numFmtId="15" fontId="0" fillId="0" borderId="0" xfId="0" applyNumberFormat="1" applyAlignment="1">
      <alignment horizontal="left"/>
    </xf>
    <xf numFmtId="0" fontId="0" fillId="0" borderId="0" xfId="0" applyNumberFormat="1"/>
  </cellXfs>
  <cellStyles count="1">
    <cellStyle name="Normal" xfId="0" builtinId="0"/>
  </cellStyles>
  <dxfs count="18">
    <dxf>
      <numFmt numFmtId="0" formatCode="General"/>
    </dxf>
    <dxf>
      <border outline="0">
        <left style="thin">
          <color indexed="64"/>
        </left>
      </border>
    </dxf>
    <dxf>
      <alignment horizontal="general"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64" formatCode="d\-mmm\-yy"/>
      <alignment horizontal="general" vertical="center" textRotation="0" wrapText="1" indent="0" justifyLastLine="0" shrinkToFit="0" readingOrder="0"/>
    </dxf>
    <dxf>
      <alignment horizontal="general" vertical="center" textRotation="0" wrapText="1" indent="0" justifyLastLine="0" shrinkToFit="0" readingOrder="0"/>
    </dxf>
    <dxf>
      <alignment horizontal="right" vertical="center" textRotation="0" wrapText="1" indent="0" justifyLastLine="0" shrinkToFit="0" readingOrder="0"/>
    </dxf>
    <dxf>
      <font>
        <b/>
        <i val="0"/>
        <strike val="0"/>
        <condense val="0"/>
        <extend val="0"/>
        <outline val="0"/>
        <shadow val="0"/>
        <u val="none"/>
        <vertAlign val="baseline"/>
        <sz val="11"/>
        <color theme="1"/>
        <name val="Aptos Narrow"/>
        <scheme val="minor"/>
      </font>
      <alignment horizontal="righ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[UBER_DASHBOARD (1) (1) ARDRA. (3).xlsx]CONTENTS!PivotTable1</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REVENUE</a:t>
            </a:r>
            <a:r>
              <a:rPr lang="en-US" baseline="0"/>
              <a:t> BY CITY</a:t>
            </a:r>
            <a:endParaRPr lang="en-US"/>
          </a:p>
        </c:rich>
      </c:tx>
      <c:layout>
        <c:manualLayout>
          <c:xMode val="edge"/>
          <c:yMode val="edge"/>
          <c:x val="0.32804399057344863"/>
          <c:y val="3.4816431078645294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CONTENTS!$F$8</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CONTENTS!$E$9:$E$16</c:f>
              <c:strCache>
                <c:ptCount val="7"/>
                <c:pt idx="0">
                  <c:v>Bengaluru</c:v>
                </c:pt>
                <c:pt idx="1">
                  <c:v>Chennai</c:v>
                </c:pt>
                <c:pt idx="2">
                  <c:v>Delhi</c:v>
                </c:pt>
                <c:pt idx="3">
                  <c:v>Hyderabad</c:v>
                </c:pt>
                <c:pt idx="4">
                  <c:v>Kochi</c:v>
                </c:pt>
                <c:pt idx="5">
                  <c:v>Mumbai</c:v>
                </c:pt>
                <c:pt idx="6">
                  <c:v>Pune</c:v>
                </c:pt>
              </c:strCache>
            </c:strRef>
          </c:cat>
          <c:val>
            <c:numRef>
              <c:f>CONTENTS!$F$9:$F$16</c:f>
              <c:numCache>
                <c:formatCode>General</c:formatCode>
                <c:ptCount val="7"/>
                <c:pt idx="0">
                  <c:v>2425</c:v>
                </c:pt>
                <c:pt idx="1">
                  <c:v>2980</c:v>
                </c:pt>
                <c:pt idx="2">
                  <c:v>2895</c:v>
                </c:pt>
                <c:pt idx="3">
                  <c:v>2122</c:v>
                </c:pt>
                <c:pt idx="4">
                  <c:v>1865</c:v>
                </c:pt>
                <c:pt idx="5">
                  <c:v>3525</c:v>
                </c:pt>
                <c:pt idx="6">
                  <c:v>2230</c:v>
                </c:pt>
              </c:numCache>
            </c:numRef>
          </c:val>
          <c:extLst xmlns:c16r2="http://schemas.microsoft.com/office/drawing/2015/06/chart">
            <c:ext xmlns:c16="http://schemas.microsoft.com/office/drawing/2014/chart" uri="{C3380CC4-5D6E-409C-BE32-E72D297353CC}">
              <c16:uniqueId val="{00000000-3939-44C2-9BF3-6B1ED2440C2E}"/>
            </c:ext>
          </c:extLst>
        </c:ser>
        <c:dLbls>
          <c:showLegendKey val="0"/>
          <c:showVal val="1"/>
          <c:showCatName val="0"/>
          <c:showSerName val="0"/>
          <c:showPercent val="0"/>
          <c:showBubbleSize val="0"/>
        </c:dLbls>
        <c:gapWidth val="79"/>
        <c:shape val="box"/>
        <c:axId val="-32650384"/>
        <c:axId val="-32657456"/>
        <c:axId val="0"/>
      </c:bar3DChart>
      <c:catAx>
        <c:axId val="-32650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2657456"/>
        <c:crosses val="autoZero"/>
        <c:auto val="1"/>
        <c:lblAlgn val="ctr"/>
        <c:lblOffset val="100"/>
        <c:noMultiLvlLbl val="0"/>
      </c:catAx>
      <c:valAx>
        <c:axId val="-32657456"/>
        <c:scaling>
          <c:orientation val="minMax"/>
        </c:scaling>
        <c:delete val="1"/>
        <c:axPos val="b"/>
        <c:numFmt formatCode="General" sourceLinked="1"/>
        <c:majorTickMark val="none"/>
        <c:minorTickMark val="none"/>
        <c:tickLblPos val="nextTo"/>
        <c:crossAx val="-32650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solidFill>
      <a:round/>
    </a:ln>
    <a:effectLst>
      <a:glow rad="228600">
        <a:schemeClr val="accent6">
          <a:satMod val="175000"/>
          <a:alpha val="40000"/>
        </a:schemeClr>
      </a:glow>
      <a:innerShdw blurRad="114300">
        <a:prstClr val="black"/>
      </a:innerShdw>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RIDES</a:t>
            </a:r>
            <a:r>
              <a:rPr lang="en-US" baseline="0"/>
              <a:t> BY VECHICLE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v>Total</c:v>
          </c:tx>
          <c:spPr>
            <a:solidFill>
              <a:schemeClr val="accent1"/>
            </a:solidFill>
            <a:ln>
              <a:noFill/>
            </a:ln>
            <a:effectLst/>
            <a:sp3d/>
          </c:spPr>
          <c:invertIfNegative val="0"/>
          <c:cat>
            <c:strLit>
              <c:ptCount val="4"/>
              <c:pt idx="0">
                <c:v>Auto</c:v>
              </c:pt>
              <c:pt idx="1">
                <c:v>Premier</c:v>
              </c:pt>
              <c:pt idx="2">
                <c:v>UberGo</c:v>
              </c:pt>
              <c:pt idx="3">
                <c:v>UberXL</c:v>
              </c:pt>
            </c:strLit>
          </c:cat>
          <c:val>
            <c:numLit>
              <c:formatCode>General</c:formatCode>
              <c:ptCount val="4"/>
              <c:pt idx="0">
                <c:v>9</c:v>
              </c:pt>
              <c:pt idx="1">
                <c:v>8</c:v>
              </c:pt>
              <c:pt idx="2">
                <c:v>25</c:v>
              </c:pt>
              <c:pt idx="3">
                <c:v>8</c:v>
              </c:pt>
            </c:numLit>
          </c:val>
          <c:extLst xmlns:c16r2="http://schemas.microsoft.com/office/drawing/2015/06/chart">
            <c:ext xmlns:c16="http://schemas.microsoft.com/office/drawing/2014/chart" uri="{C3380CC4-5D6E-409C-BE32-E72D297353CC}">
              <c16:uniqueId val="{00000000-8476-4119-9B5D-34160E881E37}"/>
            </c:ext>
          </c:extLst>
        </c:ser>
        <c:dLbls>
          <c:showLegendKey val="0"/>
          <c:showVal val="0"/>
          <c:showCatName val="0"/>
          <c:showSerName val="0"/>
          <c:showPercent val="0"/>
          <c:showBubbleSize val="0"/>
        </c:dLbls>
        <c:gapWidth val="150"/>
        <c:shape val="box"/>
        <c:axId val="-32651472"/>
        <c:axId val="-32649296"/>
        <c:axId val="0"/>
      </c:bar3DChart>
      <c:catAx>
        <c:axId val="-32651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49296"/>
        <c:crosses val="autoZero"/>
        <c:auto val="1"/>
        <c:lblAlgn val="ctr"/>
        <c:lblOffset val="100"/>
        <c:noMultiLvlLbl val="0"/>
      </c:catAx>
      <c:valAx>
        <c:axId val="-32649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51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tx2">
        <a:lumMod val="50000"/>
        <a:lumOff val="50000"/>
      </a:schemeClr>
    </a:solidFill>
    <a:ln w="9525" cap="flat" cmpd="sng" algn="ctr">
      <a:solidFill>
        <a:schemeClr val="tx1"/>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xmlns:c16r2="http://schemas.microsoft.com/office/drawing/2015/06/char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9"/>
              <c:pt idx="0">
                <c:v>1-Aug-26</c:v>
              </c:pt>
              <c:pt idx="1">
                <c:v>2-Aug-26</c:v>
              </c:pt>
              <c:pt idx="2">
                <c:v>3-Aug-26</c:v>
              </c:pt>
              <c:pt idx="3">
                <c:v>4-Aug-26</c:v>
              </c:pt>
              <c:pt idx="4">
                <c:v>5-Aug-26</c:v>
              </c:pt>
              <c:pt idx="5">
                <c:v>6-Aug-26</c:v>
              </c:pt>
              <c:pt idx="6">
                <c:v>7-Aug-26</c:v>
              </c:pt>
              <c:pt idx="7">
                <c:v>8-Aug-26</c:v>
              </c:pt>
              <c:pt idx="8">
                <c:v>9-Aug-26</c:v>
              </c:pt>
            </c:strLit>
          </c:cat>
          <c:val>
            <c:numLit>
              <c:formatCode>General</c:formatCode>
              <c:ptCount val="9"/>
              <c:pt idx="0">
                <c:v>1950</c:v>
              </c:pt>
              <c:pt idx="1">
                <c:v>2040</c:v>
              </c:pt>
              <c:pt idx="2">
                <c:v>2215</c:v>
              </c:pt>
              <c:pt idx="3">
                <c:v>2385</c:v>
              </c:pt>
              <c:pt idx="4">
                <c:v>1570</c:v>
              </c:pt>
              <c:pt idx="5">
                <c:v>1965</c:v>
              </c:pt>
              <c:pt idx="6">
                <c:v>2505</c:v>
              </c:pt>
              <c:pt idx="7">
                <c:v>2167</c:v>
              </c:pt>
              <c:pt idx="8">
                <c:v>1245</c:v>
              </c:pt>
            </c:numLit>
          </c:val>
          <c:smooth val="0"/>
          <c:extLst xmlns:c16r2="http://schemas.microsoft.com/office/drawing/2015/06/chart">
            <c:ext xmlns:c16="http://schemas.microsoft.com/office/drawing/2014/chart" uri="{C3380CC4-5D6E-409C-BE32-E72D297353CC}">
              <c16:uniqueId val="{00000000-8422-4FD6-8F73-ED56E726D768}"/>
            </c:ext>
          </c:extLst>
        </c:ser>
        <c:dLbls>
          <c:showLegendKey val="0"/>
          <c:showVal val="0"/>
          <c:showCatName val="0"/>
          <c:showSerName val="0"/>
          <c:showPercent val="0"/>
          <c:showBubbleSize val="0"/>
        </c:dLbls>
        <c:marker val="1"/>
        <c:smooth val="0"/>
        <c:axId val="-32661264"/>
        <c:axId val="-32647664"/>
      </c:lineChart>
      <c:catAx>
        <c:axId val="-3266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47664"/>
        <c:crosses val="autoZero"/>
        <c:auto val="1"/>
        <c:lblAlgn val="ctr"/>
        <c:lblOffset val="100"/>
        <c:noMultiLvlLbl val="0"/>
      </c:catAx>
      <c:valAx>
        <c:axId val="-32647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61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solidFill>
      <a:round/>
    </a:ln>
    <a:effectLst>
      <a:glow rad="139700">
        <a:schemeClr val="accent2">
          <a:satMod val="175000"/>
          <a:alpha val="40000"/>
        </a:schemeClr>
      </a:glow>
      <a:innerShdw blurRad="114300">
        <a:prstClr val="black"/>
      </a:innerShdw>
    </a:effectLst>
  </c:spPr>
  <c:txPr>
    <a:bodyPr/>
    <a:lstStyle/>
    <a:p>
      <a:pPr>
        <a:defRPr/>
      </a:pPr>
      <a:endParaRPr lang="en-US"/>
    </a:p>
  </c:txPr>
  <c:printSettings>
    <c:headerFooter/>
    <c:pageMargins b="0.75" l="0.7" r="0.7" t="0.75" header="0.3" footer="0.3"/>
    <c:pageSetup/>
  </c:printSettings>
  <c:extLst xmlns:c16r2="http://schemas.microsoft.com/office/drawing/2015/06/char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[UBER_DASHBOARD (1) (1) ARDRA. (3).xlsx]CONTENTS!PivotTable4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MODE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tint val="65000"/>
            </a:schemeClr>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hade val="65000"/>
            </a:schemeClr>
          </a:solidFill>
          <a:ln w="19050">
            <a:solidFill>
              <a:schemeClr val="lt1"/>
            </a:solidFill>
          </a:ln>
          <a:effectLst/>
        </c:spPr>
      </c:pivotFmt>
    </c:pivotFmts>
    <c:plotArea>
      <c:layout/>
      <c:doughnutChart>
        <c:varyColors val="1"/>
        <c:ser>
          <c:idx val="0"/>
          <c:order val="0"/>
          <c:tx>
            <c:strRef>
              <c:f>CONTENTS!$E$30</c:f>
              <c:strCache>
                <c:ptCount val="1"/>
                <c:pt idx="0">
                  <c:v>Total</c:v>
                </c:pt>
              </c:strCache>
            </c:strRef>
          </c:tx>
          <c:dPt>
            <c:idx val="0"/>
            <c:bubble3D val="0"/>
            <c:spPr>
              <a:solidFill>
                <a:schemeClr val="accent6">
                  <a:tint val="65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1-D090-4FF6-A127-33CDD7070480}"/>
              </c:ext>
            </c:extLst>
          </c:dPt>
          <c:dPt>
            <c:idx val="1"/>
            <c:bubble3D val="0"/>
            <c:spPr>
              <a:solidFill>
                <a:schemeClr val="accent6"/>
              </a:solidFill>
              <a:ln w="19050">
                <a:solidFill>
                  <a:schemeClr val="lt1"/>
                </a:solidFill>
              </a:ln>
              <a:effectLst/>
            </c:spPr>
            <c:extLst xmlns:c16r2="http://schemas.microsoft.com/office/drawing/2015/06/chart">
              <c:ext xmlns:c16="http://schemas.microsoft.com/office/drawing/2014/chart" uri="{C3380CC4-5D6E-409C-BE32-E72D297353CC}">
                <c16:uniqueId val="{00000003-D090-4FF6-A127-33CDD7070480}"/>
              </c:ext>
            </c:extLst>
          </c:dPt>
          <c:dPt>
            <c:idx val="2"/>
            <c:bubble3D val="0"/>
            <c:spPr>
              <a:solidFill>
                <a:schemeClr val="accent6">
                  <a:shade val="65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5-D090-4FF6-A127-33CDD707048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CONTENTS!$D$31:$D$34</c:f>
              <c:strCache>
                <c:ptCount val="3"/>
                <c:pt idx="0">
                  <c:v>Card</c:v>
                </c:pt>
                <c:pt idx="1">
                  <c:v>Cash</c:v>
                </c:pt>
                <c:pt idx="2">
                  <c:v>UPI</c:v>
                </c:pt>
              </c:strCache>
            </c:strRef>
          </c:cat>
          <c:val>
            <c:numRef>
              <c:f>CONTENTS!$E$31:$E$34</c:f>
              <c:numCache>
                <c:formatCode>General</c:formatCode>
                <c:ptCount val="3"/>
                <c:pt idx="0">
                  <c:v>17</c:v>
                </c:pt>
                <c:pt idx="1">
                  <c:v>10</c:v>
                </c:pt>
                <c:pt idx="2">
                  <c:v>23</c:v>
                </c:pt>
              </c:numCache>
            </c:numRef>
          </c:val>
          <c:extLst xmlns:c16r2="http://schemas.microsoft.com/office/drawing/2015/06/chart">
            <c:ext xmlns:c16="http://schemas.microsoft.com/office/drawing/2014/chart" uri="{C3380CC4-5D6E-409C-BE32-E72D297353CC}">
              <c16:uniqueId val="{00000000-84B3-4816-AFE4-2F7DF9BA458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accent4"/>
    </a:solidFill>
    <a:ln w="9525" cap="flat" cmpd="sng" algn="ctr">
      <a:solidFill>
        <a:schemeClr val="tx1"/>
      </a:solidFill>
      <a:round/>
    </a:ln>
    <a:effectLst>
      <a:glow rad="139700">
        <a:schemeClr val="accent4">
          <a:satMod val="175000"/>
          <a:alpha val="40000"/>
        </a:schemeClr>
      </a:glow>
      <a:innerShdw blurRad="114300">
        <a:prstClr val="black"/>
      </a:innerShdw>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[UBER_DASHBOARD (1) (1) ARDRA. (3).xlsx]CONTENTS!PivotTable5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TRIP</a:t>
            </a:r>
            <a:r>
              <a:rPr lang="en-US" baseline="0"/>
              <a:t> TYPE BY REVENUE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a:sp3d/>
        </c:spPr>
      </c:pivotFmt>
      <c:pivotFmt>
        <c:idx val="2"/>
        <c:spPr>
          <a:solidFill>
            <a:schemeClr val="accent6"/>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CONTENTS!$K$30</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a:sp3d/>
            </c:spPr>
            <c:extLst xmlns:c16r2="http://schemas.microsoft.com/office/drawing/2015/06/chart">
              <c:ext xmlns:c16="http://schemas.microsoft.com/office/drawing/2014/chart" uri="{C3380CC4-5D6E-409C-BE32-E72D297353CC}">
                <c16:uniqueId val="{00000001-27C8-42BD-836D-19E55DBF339E}"/>
              </c:ext>
            </c:extLst>
          </c:dPt>
          <c:dPt>
            <c:idx val="1"/>
            <c:bubble3D val="0"/>
            <c:spPr>
              <a:solidFill>
                <a:schemeClr val="accent5"/>
              </a:solidFill>
              <a:ln>
                <a:noFill/>
              </a:ln>
              <a:effectLst>
                <a:outerShdw blurRad="254000" sx="102000" sy="102000" algn="ctr" rotWithShape="0">
                  <a:prstClr val="black">
                    <a:alpha val="20000"/>
                  </a:prstClr>
                </a:outerShdw>
              </a:effectLst>
              <a:sp3d/>
            </c:spPr>
            <c:extLst xmlns:c16r2="http://schemas.microsoft.com/office/drawing/2015/06/chart">
              <c:ext xmlns:c16="http://schemas.microsoft.com/office/drawing/2014/chart" uri="{C3380CC4-5D6E-409C-BE32-E72D297353CC}">
                <c16:uniqueId val="{00000003-27C8-42BD-836D-19E55DBF339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CONTENTS!$J$31:$J$33</c:f>
              <c:strCache>
                <c:ptCount val="2"/>
                <c:pt idx="0">
                  <c:v>Airport</c:v>
                </c:pt>
                <c:pt idx="1">
                  <c:v>City</c:v>
                </c:pt>
              </c:strCache>
            </c:strRef>
          </c:cat>
          <c:val>
            <c:numRef>
              <c:f>CONTENTS!$K$31:$K$33</c:f>
              <c:numCache>
                <c:formatCode>General</c:formatCode>
                <c:ptCount val="2"/>
                <c:pt idx="0">
                  <c:v>8400</c:v>
                </c:pt>
                <c:pt idx="1">
                  <c:v>9642</c:v>
                </c:pt>
              </c:numCache>
            </c:numRef>
          </c:val>
          <c:extLst xmlns:c16r2="http://schemas.microsoft.com/office/drawing/2015/06/chart">
            <c:ext xmlns:c16="http://schemas.microsoft.com/office/drawing/2014/chart" uri="{C3380CC4-5D6E-409C-BE32-E72D297353CC}">
              <c16:uniqueId val="{00000000-88AD-4744-92FE-57FBB1B7B960}"/>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solidFill>
      <a:round/>
    </a:ln>
    <a:effectLst>
      <a:glow rad="63500">
        <a:schemeClr val="accent1">
          <a:satMod val="175000"/>
          <a:alpha val="40000"/>
        </a:schemeClr>
      </a:glow>
      <a:innerShdw blurRad="114300">
        <a:prstClr val="black"/>
      </a:innerShdw>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[UBER_DASHBOARD (1) (1) ARDRA. (3).xlsx]CONTENTS!PivotTable6</c:name>
    <c:fmtId val="0"/>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CUSTOMER</a:t>
            </a:r>
            <a:r>
              <a:rPr lang="en-US" baseline="0"/>
              <a:t> TYPE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1"/>
          <c:showSerName val="0"/>
          <c:showPercent val="0"/>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p3d/>
        </c:spPr>
        <c:dLbl>
          <c:idx val="0"/>
          <c:layout>
            <c:manualLayout>
              <c:x val="5.3840063341250931E-2"/>
              <c:y val="-0.3114754098360655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1"/>
          <c:showSerName val="0"/>
          <c:showPercent val="0"/>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CONTENTS!$P$33</c:f>
              <c:strCache>
                <c:ptCount val="1"/>
                <c:pt idx="0">
                  <c:v>Total</c:v>
                </c:pt>
              </c:strCache>
            </c:strRef>
          </c:tx>
          <c:spPr>
            <a:solidFill>
              <a:schemeClr val="accent1"/>
            </a:solidFill>
            <a:ln>
              <a:noFill/>
            </a:ln>
            <a:effectLst/>
            <a:sp3d/>
          </c:spPr>
          <c:invertIfNegative val="0"/>
          <c:dPt>
            <c:idx val="0"/>
            <c:invertIfNegative val="0"/>
            <c:bubble3D val="0"/>
            <c:extLst xmlns:c16r2="http://schemas.microsoft.com/office/drawing/2015/06/chart">
              <c:ext xmlns:c16="http://schemas.microsoft.com/office/drawing/2014/chart" uri="{C3380CC4-5D6E-409C-BE32-E72D297353CC}">
                <c16:uniqueId val="{00000000-2875-438F-B008-864299F1AC71}"/>
              </c:ext>
            </c:extLst>
          </c:dPt>
          <c:dPt>
            <c:idx val="1"/>
            <c:invertIfNegative val="0"/>
            <c:bubble3D val="0"/>
          </c:dPt>
          <c:dLbls>
            <c:dLbl>
              <c:idx val="1"/>
              <c:layout>
                <c:manualLayout>
                  <c:x val="5.3840063341250931E-2"/>
                  <c:y val="-0.31147540983606559"/>
                </c:manualLayout>
              </c:layout>
              <c:showLegendKey val="0"/>
              <c:showVal val="1"/>
              <c:showCatName val="1"/>
              <c:showSerName val="0"/>
              <c:showPercent val="0"/>
              <c:showBubbleSize val="0"/>
              <c:extLst xmlns:c16r2="http://schemas.microsoft.com/office/drawing/2015/06/chart">
                <c:ext xmlns:c15="http://schemas.microsoft.com/office/drawing/2012/chart" uri="{CE6537A1-D6FC-4f65-9D91-7224C49458BB}"/>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CONTENTS!$O$34:$O$37</c:f>
              <c:strCache>
                <c:ptCount val="3"/>
                <c:pt idx="0">
                  <c:v>New</c:v>
                </c:pt>
                <c:pt idx="1">
                  <c:v>Premium</c:v>
                </c:pt>
                <c:pt idx="2">
                  <c:v>Regular</c:v>
                </c:pt>
              </c:strCache>
            </c:strRef>
          </c:cat>
          <c:val>
            <c:numRef>
              <c:f>CONTENTS!$P$34:$P$37</c:f>
              <c:numCache>
                <c:formatCode>General</c:formatCode>
                <c:ptCount val="3"/>
                <c:pt idx="0">
                  <c:v>13</c:v>
                </c:pt>
                <c:pt idx="1">
                  <c:v>11</c:v>
                </c:pt>
                <c:pt idx="2">
                  <c:v>26</c:v>
                </c:pt>
              </c:numCache>
            </c:numRef>
          </c:val>
          <c:extLst xmlns:c16r2="http://schemas.microsoft.com/office/drawing/2015/06/chart">
            <c:ext xmlns:c16="http://schemas.microsoft.com/office/drawing/2014/chart" uri="{C3380CC4-5D6E-409C-BE32-E72D297353CC}">
              <c16:uniqueId val="{00000000-A318-45AD-9D5E-220A82C33AAD}"/>
            </c:ext>
          </c:extLst>
        </c:ser>
        <c:dLbls>
          <c:showLegendKey val="0"/>
          <c:showVal val="0"/>
          <c:showCatName val="0"/>
          <c:showSerName val="0"/>
          <c:showPercent val="0"/>
          <c:showBubbleSize val="0"/>
        </c:dLbls>
        <c:gapWidth val="150"/>
        <c:shape val="box"/>
        <c:axId val="-32659088"/>
        <c:axId val="-32658544"/>
        <c:axId val="0"/>
      </c:bar3DChart>
      <c:catAx>
        <c:axId val="-326590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32658544"/>
        <c:crosses val="autoZero"/>
        <c:auto val="1"/>
        <c:lblAlgn val="ctr"/>
        <c:lblOffset val="100"/>
        <c:noMultiLvlLbl val="0"/>
      </c:catAx>
      <c:valAx>
        <c:axId val="-32658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32659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accent3">
        <a:lumMod val="60000"/>
        <a:lumOff val="40000"/>
      </a:schemeClr>
    </a:solidFill>
    <a:ln w="9525" cap="flat" cmpd="sng" algn="ctr">
      <a:solidFill>
        <a:schemeClr val="tx1"/>
      </a:solidFill>
      <a:round/>
    </a:ln>
    <a:effectLst>
      <a:glow rad="101600">
        <a:schemeClr val="accent3">
          <a:satMod val="175000"/>
          <a:alpha val="40000"/>
        </a:schemeClr>
      </a:glow>
      <a:innerShdw blurRad="63500" dist="50800" dir="16200000">
        <a:prstClr val="black">
          <a:alpha val="50000"/>
        </a:prstClr>
      </a:innerShdw>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[UBER_DASHBOARD (1) (1) ARDRA. (3).xlsx]CONTENTS!PivotTable8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COMPILATION</a:t>
            </a:r>
            <a:r>
              <a:rPr lang="en-US" baseline="0"/>
              <a:t>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pivotFmt>
      <c:pivotFmt>
        <c:idx val="1"/>
        <c:spPr>
          <a:solidFill>
            <a:schemeClr val="accent5">
              <a:shade val="76000"/>
            </a:schemeClr>
          </a:solidFill>
          <a:ln w="19050">
            <a:solidFill>
              <a:schemeClr val="lt1"/>
            </a:solidFill>
          </a:ln>
          <a:effectLst/>
        </c:spPr>
      </c:pivotFmt>
      <c:pivotFmt>
        <c:idx val="2"/>
        <c:spPr>
          <a:solidFill>
            <a:schemeClr val="accent5">
              <a:tint val="77000"/>
            </a:schemeClr>
          </a:solidFill>
          <a:ln w="19050">
            <a:solidFill>
              <a:schemeClr val="lt1"/>
            </a:solidFill>
          </a:ln>
          <a:effectLst/>
        </c:spPr>
      </c:pivotFmt>
    </c:pivotFmts>
    <c:plotArea>
      <c:layout/>
      <c:pieChart>
        <c:varyColors val="1"/>
        <c:ser>
          <c:idx val="0"/>
          <c:order val="0"/>
          <c:tx>
            <c:strRef>
              <c:f>CONTENTS!$AD$9</c:f>
              <c:strCache>
                <c:ptCount val="1"/>
                <c:pt idx="0">
                  <c:v>Total</c:v>
                </c:pt>
              </c:strCache>
            </c:strRef>
          </c:tx>
          <c:dPt>
            <c:idx val="0"/>
            <c:bubble3D val="0"/>
            <c:spPr>
              <a:solidFill>
                <a:schemeClr val="accent5">
                  <a:shade val="76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1-7C9C-4D62-85ED-93B324BF271D}"/>
              </c:ext>
            </c:extLst>
          </c:dPt>
          <c:dPt>
            <c:idx val="1"/>
            <c:bubble3D val="0"/>
            <c:spPr>
              <a:solidFill>
                <a:schemeClr val="accent5">
                  <a:tint val="77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3-7C9C-4D62-85ED-93B324BF271D}"/>
              </c:ext>
            </c:extLst>
          </c:dPt>
          <c:cat>
            <c:strRef>
              <c:f>CONTENTS!$AC$10:$AC$12</c:f>
              <c:strCache>
                <c:ptCount val="2"/>
                <c:pt idx="0">
                  <c:v>Cancelled</c:v>
                </c:pt>
                <c:pt idx="1">
                  <c:v>Completed</c:v>
                </c:pt>
              </c:strCache>
            </c:strRef>
          </c:cat>
          <c:val>
            <c:numRef>
              <c:f>CONTENTS!$AD$10:$AD$12</c:f>
              <c:numCache>
                <c:formatCode>General</c:formatCode>
                <c:ptCount val="2"/>
                <c:pt idx="0">
                  <c:v>3</c:v>
                </c:pt>
                <c:pt idx="1">
                  <c:v>47</c:v>
                </c:pt>
              </c:numCache>
            </c:numRef>
          </c:val>
          <c:extLst xmlns:c16r2="http://schemas.microsoft.com/office/drawing/2015/06/chart">
            <c:ext xmlns:c16="http://schemas.microsoft.com/office/drawing/2014/chart" uri="{C3380CC4-5D6E-409C-BE32-E72D297353CC}">
              <c16:uniqueId val="{00000000-748A-4187-A509-5F88E5D4EA5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tx1"/>
      </a:solidFill>
      <a:round/>
    </a:ln>
    <a:effectLst>
      <a:glow rad="63500">
        <a:schemeClr val="accent1">
          <a:satMod val="175000"/>
          <a:alpha val="40000"/>
        </a:schemeClr>
      </a:glow>
      <a:innerShdw blurRad="114300">
        <a:prstClr val="black"/>
      </a:innerShdw>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[UBER_DASHBOARD (1) (1) ARDRA. (3).xlsx]CONTENTS!PivotTable7</c:name>
    <c:fmtId val="0"/>
  </c:pivotSource>
  <c:chart>
    <c:title>
      <c:tx>
        <c:rich>
          <a:bodyPr rot="0" spcFirstLastPara="1" vertOverflow="ellipsis" vert="horz" wrap="square" anchor="ctr" anchorCtr="1"/>
          <a:lstStyle/>
          <a:p>
            <a:pPr>
              <a:defRPr sz="1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r>
              <a:rPr lang="en-US"/>
              <a:t>AVERAGE</a:t>
            </a:r>
            <a:r>
              <a:rPr lang="en-US" baseline="0"/>
              <a:t> RATING OF VEHICLE</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1"/>
          <c:showCatName val="1"/>
          <c:showSerName val="0"/>
          <c:showPercent val="0"/>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p3d/>
        </c:spPr>
        <c:dLbl>
          <c:idx val="0"/>
          <c:layout>
            <c:manualLayout>
              <c:x val="0.16054421768707483"/>
              <c:y val="-0.3228699551569506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1"/>
          <c:showCatName val="1"/>
          <c:showSerName val="0"/>
          <c:showPercent val="0"/>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CONTENTS!$V$33</c:f>
              <c:strCache>
                <c:ptCount val="1"/>
                <c:pt idx="0">
                  <c:v>Total</c:v>
                </c:pt>
              </c:strCache>
            </c:strRef>
          </c:tx>
          <c:spPr>
            <a:solidFill>
              <a:schemeClr val="accent1"/>
            </a:solidFill>
            <a:ln>
              <a:noFill/>
            </a:ln>
            <a:effectLst/>
            <a:sp3d/>
          </c:spPr>
          <c:invertIfNegative val="0"/>
          <c:dPt>
            <c:idx val="0"/>
            <c:invertIfNegative val="0"/>
            <c:bubble3D val="0"/>
            <c:extLst xmlns:c16r2="http://schemas.microsoft.com/office/drawing/2015/06/chart">
              <c:ext xmlns:c16="http://schemas.microsoft.com/office/drawing/2014/chart" uri="{C3380CC4-5D6E-409C-BE32-E72D297353CC}">
                <c16:uniqueId val="{00000000-5629-4FD9-9F77-B44FC6A2FF7D}"/>
              </c:ext>
            </c:extLst>
          </c:dPt>
          <c:dLbls>
            <c:dLbl>
              <c:idx val="0"/>
              <c:layout>
                <c:manualLayout>
                  <c:x val="0.16054421768707483"/>
                  <c:y val="-0.32286995515695066"/>
                </c:manualLayout>
              </c:layout>
              <c:showLegendKey val="0"/>
              <c:showVal val="1"/>
              <c:showCatName val="1"/>
              <c:showSerName val="0"/>
              <c:showPercent val="0"/>
              <c:showBubbleSize val="0"/>
              <c:extLst xmlns:c16r2="http://schemas.microsoft.com/office/drawing/2015/06/chart">
                <c:ext xmlns:c15="http://schemas.microsoft.com/office/drawing/2012/chart" uri="{CE6537A1-D6FC-4f65-9D91-7224C49458BB}"/>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CONTENTS!$U$34:$U$35</c:f>
              <c:strCache>
                <c:ptCount val="1"/>
                <c:pt idx="0">
                  <c:v>UberXL</c:v>
                </c:pt>
              </c:strCache>
            </c:strRef>
          </c:cat>
          <c:val>
            <c:numRef>
              <c:f>CONTENTS!$V$34:$V$35</c:f>
              <c:numCache>
                <c:formatCode>General</c:formatCode>
                <c:ptCount val="1"/>
                <c:pt idx="0">
                  <c:v>38</c:v>
                </c:pt>
              </c:numCache>
            </c:numRef>
          </c:val>
          <c:extLst xmlns:c16r2="http://schemas.microsoft.com/office/drawing/2015/06/chart">
            <c:ext xmlns:c16="http://schemas.microsoft.com/office/drawing/2014/chart" uri="{C3380CC4-5D6E-409C-BE32-E72D297353CC}">
              <c16:uniqueId val="{00000000-71FC-46C6-8418-7A1A2981A125}"/>
            </c:ext>
          </c:extLst>
        </c:ser>
        <c:dLbls>
          <c:showLegendKey val="0"/>
          <c:showVal val="0"/>
          <c:showCatName val="0"/>
          <c:showSerName val="0"/>
          <c:showPercent val="0"/>
          <c:showBubbleSize val="0"/>
        </c:dLbls>
        <c:gapWidth val="150"/>
        <c:shape val="box"/>
        <c:axId val="-268442480"/>
        <c:axId val="-268444656"/>
        <c:axId val="0"/>
      </c:bar3DChart>
      <c:catAx>
        <c:axId val="-2684424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crossAx val="-268444656"/>
        <c:crosses val="autoZero"/>
        <c:auto val="1"/>
        <c:lblAlgn val="ctr"/>
        <c:lblOffset val="100"/>
        <c:noMultiLvlLbl val="0"/>
      </c:catAx>
      <c:valAx>
        <c:axId val="-268444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crossAx val="-268442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solidFill>
      <a:round/>
    </a:ln>
    <a:effectLst>
      <a:innerShdw blurRad="114300">
        <a:prstClr val="black"/>
      </a:innerShdw>
    </a:effectLst>
  </c:spPr>
  <c:txPr>
    <a:bodyPr/>
    <a:lstStyle/>
    <a:p>
      <a:pPr>
        <a:defRPr b="0" cap="none" spc="0">
          <a:ln w="0"/>
          <a:solidFill>
            <a:schemeClr val="accent1"/>
          </a:solidFill>
          <a:effectLst>
            <a:outerShdw blurRad="38100" dist="25400" dir="5400000" algn="ctr" rotWithShape="0">
              <a:srgbClr val="6E747A">
                <a:alpha val="43000"/>
              </a:srgbClr>
            </a:outerShdw>
          </a:effectLst>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[UBER_DASHBOARD (1) (1) ARDRA. (3).xlsx]CONTENTS!PivotTable1</c:name>
    <c:fmtId val="9"/>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REVENUE</a:t>
            </a:r>
            <a:r>
              <a:rPr lang="en-US" baseline="0"/>
              <a:t> BY CITY</a:t>
            </a:r>
            <a:endParaRPr lang="en-US"/>
          </a:p>
        </c:rich>
      </c:tx>
      <c:layout>
        <c:manualLayout>
          <c:xMode val="edge"/>
          <c:yMode val="edge"/>
          <c:x val="0.32804399057344863"/>
          <c:y val="3.4816431078645294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a:sp3d/>
        </c:spPr>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CONTENTS!$F$8</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CONTENTS!$E$9:$E$16</c:f>
              <c:strCache>
                <c:ptCount val="7"/>
                <c:pt idx="0">
                  <c:v>Bengaluru</c:v>
                </c:pt>
                <c:pt idx="1">
                  <c:v>Chennai</c:v>
                </c:pt>
                <c:pt idx="2">
                  <c:v>Delhi</c:v>
                </c:pt>
                <c:pt idx="3">
                  <c:v>Hyderabad</c:v>
                </c:pt>
                <c:pt idx="4">
                  <c:v>Kochi</c:v>
                </c:pt>
                <c:pt idx="5">
                  <c:v>Mumbai</c:v>
                </c:pt>
                <c:pt idx="6">
                  <c:v>Pune</c:v>
                </c:pt>
              </c:strCache>
            </c:strRef>
          </c:cat>
          <c:val>
            <c:numRef>
              <c:f>CONTENTS!$F$9:$F$16</c:f>
              <c:numCache>
                <c:formatCode>General</c:formatCode>
                <c:ptCount val="7"/>
                <c:pt idx="0">
                  <c:v>2425</c:v>
                </c:pt>
                <c:pt idx="1">
                  <c:v>2980</c:v>
                </c:pt>
                <c:pt idx="2">
                  <c:v>2895</c:v>
                </c:pt>
                <c:pt idx="3">
                  <c:v>2122</c:v>
                </c:pt>
                <c:pt idx="4">
                  <c:v>1865</c:v>
                </c:pt>
                <c:pt idx="5">
                  <c:v>3525</c:v>
                </c:pt>
                <c:pt idx="6">
                  <c:v>2230</c:v>
                </c:pt>
              </c:numCache>
            </c:numRef>
          </c:val>
          <c:extLst xmlns:c16r2="http://schemas.microsoft.com/office/drawing/2015/06/chart">
            <c:ext xmlns:c16="http://schemas.microsoft.com/office/drawing/2014/chart" uri="{C3380CC4-5D6E-409C-BE32-E72D297353CC}">
              <c16:uniqueId val="{00000000-EFC5-4356-AA18-D245DD3416A0}"/>
            </c:ext>
          </c:extLst>
        </c:ser>
        <c:dLbls>
          <c:showLegendKey val="0"/>
          <c:showVal val="1"/>
          <c:showCatName val="0"/>
          <c:showSerName val="0"/>
          <c:showPercent val="0"/>
          <c:showBubbleSize val="0"/>
        </c:dLbls>
        <c:gapWidth val="79"/>
        <c:shape val="box"/>
        <c:axId val="-268449552"/>
        <c:axId val="-268447920"/>
        <c:axId val="0"/>
      </c:bar3DChart>
      <c:catAx>
        <c:axId val="-268449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68447920"/>
        <c:crosses val="autoZero"/>
        <c:auto val="1"/>
        <c:lblAlgn val="ctr"/>
        <c:lblOffset val="100"/>
        <c:noMultiLvlLbl val="0"/>
      </c:catAx>
      <c:valAx>
        <c:axId val="-268447920"/>
        <c:scaling>
          <c:orientation val="minMax"/>
        </c:scaling>
        <c:delete val="1"/>
        <c:axPos val="b"/>
        <c:numFmt formatCode="General" sourceLinked="1"/>
        <c:majorTickMark val="none"/>
        <c:minorTickMark val="none"/>
        <c:tickLblPos val="nextTo"/>
        <c:crossAx val="-2684495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tx2">
        <a:lumMod val="50000"/>
        <a:lumOff val="50000"/>
      </a:schemeClr>
    </a:solidFill>
    <a:ln w="9525" cap="flat" cmpd="sng" algn="ctr">
      <a:solidFill>
        <a:schemeClr val="tx1"/>
      </a:solidFill>
      <a:round/>
    </a:ln>
    <a:effectLst>
      <a:glow rad="228600">
        <a:schemeClr val="accent6">
          <a:satMod val="175000"/>
          <a:alpha val="40000"/>
        </a:schemeClr>
      </a:glow>
      <a:innerShdw blurRad="114300">
        <a:prstClr val="black"/>
      </a:innerShdw>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RIDES</a:t>
            </a:r>
            <a:r>
              <a:rPr lang="en-US" baseline="0"/>
              <a:t> BY VECHICLE TYPE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v>Total</c:v>
          </c:tx>
          <c:spPr>
            <a:solidFill>
              <a:schemeClr val="accent1"/>
            </a:solidFill>
            <a:ln>
              <a:noFill/>
            </a:ln>
            <a:effectLst/>
            <a:sp3d/>
          </c:spPr>
          <c:invertIfNegative val="0"/>
          <c:cat>
            <c:strLit>
              <c:ptCount val="4"/>
              <c:pt idx="0">
                <c:v>Auto</c:v>
              </c:pt>
              <c:pt idx="1">
                <c:v>Premier</c:v>
              </c:pt>
              <c:pt idx="2">
                <c:v>UberGo</c:v>
              </c:pt>
              <c:pt idx="3">
                <c:v>UberXL</c:v>
              </c:pt>
            </c:strLit>
          </c:cat>
          <c:val>
            <c:numLit>
              <c:formatCode>General</c:formatCode>
              <c:ptCount val="4"/>
              <c:pt idx="0">
                <c:v>9</c:v>
              </c:pt>
              <c:pt idx="1">
                <c:v>8</c:v>
              </c:pt>
              <c:pt idx="2">
                <c:v>25</c:v>
              </c:pt>
              <c:pt idx="3">
                <c:v>8</c:v>
              </c:pt>
            </c:numLit>
          </c:val>
          <c:extLst xmlns:c16r2="http://schemas.microsoft.com/office/drawing/2015/06/chart">
            <c:ext xmlns:c16="http://schemas.microsoft.com/office/drawing/2014/chart" uri="{C3380CC4-5D6E-409C-BE32-E72D297353CC}">
              <c16:uniqueId val="{00000000-827A-4292-AF3B-49EDC5644363}"/>
            </c:ext>
          </c:extLst>
        </c:ser>
        <c:dLbls>
          <c:showLegendKey val="0"/>
          <c:showVal val="0"/>
          <c:showCatName val="0"/>
          <c:showSerName val="0"/>
          <c:showPercent val="0"/>
          <c:showBubbleSize val="0"/>
        </c:dLbls>
        <c:gapWidth val="150"/>
        <c:shape val="box"/>
        <c:axId val="-268444112"/>
        <c:axId val="-268452272"/>
        <c:axId val="0"/>
      </c:bar3DChart>
      <c:catAx>
        <c:axId val="-2684441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452272"/>
        <c:crosses val="autoZero"/>
        <c:auto val="1"/>
        <c:lblAlgn val="ctr"/>
        <c:lblOffset val="100"/>
        <c:noMultiLvlLbl val="0"/>
      </c:catAx>
      <c:valAx>
        <c:axId val="-268452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4441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tx2">
        <a:lumMod val="50000"/>
        <a:lumOff val="50000"/>
      </a:schemeClr>
    </a:solidFill>
    <a:ln w="9525" cap="flat" cmpd="sng" algn="ctr">
      <a:solidFill>
        <a:schemeClr val="tx1"/>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xmlns:c16r2="http://schemas.microsoft.com/office/drawing/2015/06/char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TREND</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9"/>
              <c:pt idx="0">
                <c:v>1-Aug-26</c:v>
              </c:pt>
              <c:pt idx="1">
                <c:v>2-Aug-26</c:v>
              </c:pt>
              <c:pt idx="2">
                <c:v>3-Aug-26</c:v>
              </c:pt>
              <c:pt idx="3">
                <c:v>4-Aug-26</c:v>
              </c:pt>
              <c:pt idx="4">
                <c:v>5-Aug-26</c:v>
              </c:pt>
              <c:pt idx="5">
                <c:v>6-Aug-26</c:v>
              </c:pt>
              <c:pt idx="6">
                <c:v>7-Aug-26</c:v>
              </c:pt>
              <c:pt idx="7">
                <c:v>8-Aug-26</c:v>
              </c:pt>
              <c:pt idx="8">
                <c:v>9-Aug-26</c:v>
              </c:pt>
            </c:strLit>
          </c:cat>
          <c:val>
            <c:numLit>
              <c:formatCode>General</c:formatCode>
              <c:ptCount val="9"/>
              <c:pt idx="0">
                <c:v>1950</c:v>
              </c:pt>
              <c:pt idx="1">
                <c:v>2040</c:v>
              </c:pt>
              <c:pt idx="2">
                <c:v>2215</c:v>
              </c:pt>
              <c:pt idx="3">
                <c:v>2385</c:v>
              </c:pt>
              <c:pt idx="4">
                <c:v>1570</c:v>
              </c:pt>
              <c:pt idx="5">
                <c:v>1965</c:v>
              </c:pt>
              <c:pt idx="6">
                <c:v>2505</c:v>
              </c:pt>
              <c:pt idx="7">
                <c:v>2167</c:v>
              </c:pt>
              <c:pt idx="8">
                <c:v>1245</c:v>
              </c:pt>
            </c:numLit>
          </c:val>
          <c:smooth val="0"/>
          <c:extLst xmlns:c16r2="http://schemas.microsoft.com/office/drawing/2015/06/chart">
            <c:ext xmlns:c16="http://schemas.microsoft.com/office/drawing/2014/chart" uri="{C3380CC4-5D6E-409C-BE32-E72D297353CC}">
              <c16:uniqueId val="{00000000-F395-42AC-9B46-5B56B756208D}"/>
            </c:ext>
          </c:extLst>
        </c:ser>
        <c:dLbls>
          <c:showLegendKey val="0"/>
          <c:showVal val="0"/>
          <c:showCatName val="0"/>
          <c:showSerName val="0"/>
          <c:showPercent val="0"/>
          <c:showBubbleSize val="0"/>
        </c:dLbls>
        <c:marker val="1"/>
        <c:smooth val="0"/>
        <c:axId val="-2116362960"/>
        <c:axId val="-2116361328"/>
      </c:lineChart>
      <c:catAx>
        <c:axId val="-211636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361328"/>
        <c:crosses val="autoZero"/>
        <c:auto val="1"/>
        <c:lblAlgn val="ctr"/>
        <c:lblOffset val="100"/>
        <c:noMultiLvlLbl val="0"/>
      </c:catAx>
      <c:valAx>
        <c:axId val="-2116361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3629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tx2">
        <a:lumMod val="50000"/>
        <a:lumOff val="50000"/>
      </a:schemeClr>
    </a:solidFill>
    <a:ln w="9525" cap="flat" cmpd="sng" algn="ctr">
      <a:solidFill>
        <a:schemeClr val="tx1"/>
      </a:solidFill>
      <a:round/>
    </a:ln>
    <a:effectLst>
      <a:glow rad="139700">
        <a:schemeClr val="accent2">
          <a:satMod val="175000"/>
          <a:alpha val="40000"/>
        </a:schemeClr>
      </a:glow>
      <a:innerShdw blurRad="114300">
        <a:prstClr val="black"/>
      </a:innerShdw>
    </a:effectLst>
  </c:spPr>
  <c:txPr>
    <a:bodyPr/>
    <a:lstStyle/>
    <a:p>
      <a:pPr>
        <a:defRPr/>
      </a:pPr>
      <a:endParaRPr lang="en-US"/>
    </a:p>
  </c:txPr>
  <c:printSettings>
    <c:headerFooter/>
    <c:pageMargins b="0.75" l="0.7" r="0.7" t="0.75" header="0.3" footer="0.3"/>
    <c:pageSetup/>
  </c:printSettings>
  <c:extLst xmlns:c16r2="http://schemas.microsoft.com/office/drawing/2015/06/char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[UBER_DASHBOARD (1) (1) ARDRA. (3).xlsx]CONTENTS!PivotTable4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MODE DISTRIBUTION</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tint val="65000"/>
            </a:schemeClr>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hade val="65000"/>
            </a:schemeClr>
          </a:solidFill>
          <a:ln w="19050">
            <a:solidFill>
              <a:schemeClr val="lt1"/>
            </a:solidFill>
          </a:ln>
          <a:effectLst/>
        </c:spPr>
      </c:pivotFmt>
      <c:pivotFmt>
        <c:idx val="8"/>
        <c:spPr>
          <a:solidFill>
            <a:schemeClr val="accent6"/>
          </a:solidFill>
          <a:ln w="19050">
            <a:solidFill>
              <a:schemeClr val="lt1"/>
            </a:solid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9"/>
        <c:spPr>
          <a:solidFill>
            <a:schemeClr val="accent6">
              <a:tint val="65000"/>
            </a:schemeClr>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hade val="65000"/>
            </a:schemeClr>
          </a:solidFill>
          <a:ln w="19050">
            <a:solidFill>
              <a:schemeClr val="lt1"/>
            </a:solidFill>
          </a:ln>
          <a:effectLst/>
        </c:spPr>
      </c:pivotFmt>
    </c:pivotFmts>
    <c:plotArea>
      <c:layout/>
      <c:doughnutChart>
        <c:varyColors val="1"/>
        <c:ser>
          <c:idx val="0"/>
          <c:order val="0"/>
          <c:tx>
            <c:strRef>
              <c:f>CONTENTS!$E$30</c:f>
              <c:strCache>
                <c:ptCount val="1"/>
                <c:pt idx="0">
                  <c:v>Total</c:v>
                </c:pt>
              </c:strCache>
            </c:strRef>
          </c:tx>
          <c:dPt>
            <c:idx val="0"/>
            <c:bubble3D val="0"/>
            <c:spPr>
              <a:solidFill>
                <a:schemeClr val="accent6">
                  <a:tint val="65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1-F007-4939-886A-698CC9C809DB}"/>
              </c:ext>
            </c:extLst>
          </c:dPt>
          <c:dPt>
            <c:idx val="1"/>
            <c:bubble3D val="0"/>
            <c:spPr>
              <a:solidFill>
                <a:schemeClr val="accent6"/>
              </a:solidFill>
              <a:ln w="19050">
                <a:solidFill>
                  <a:schemeClr val="lt1"/>
                </a:solidFill>
              </a:ln>
              <a:effectLst/>
            </c:spPr>
            <c:extLst xmlns:c16r2="http://schemas.microsoft.com/office/drawing/2015/06/chart">
              <c:ext xmlns:c16="http://schemas.microsoft.com/office/drawing/2014/chart" uri="{C3380CC4-5D6E-409C-BE32-E72D297353CC}">
                <c16:uniqueId val="{00000003-F007-4939-886A-698CC9C809DB}"/>
              </c:ext>
            </c:extLst>
          </c:dPt>
          <c:dPt>
            <c:idx val="2"/>
            <c:bubble3D val="0"/>
            <c:spPr>
              <a:solidFill>
                <a:schemeClr val="accent6">
                  <a:shade val="65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5-F007-4939-886A-698CC9C809D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CONTENTS!$D$31:$D$34</c:f>
              <c:strCache>
                <c:ptCount val="3"/>
                <c:pt idx="0">
                  <c:v>Card</c:v>
                </c:pt>
                <c:pt idx="1">
                  <c:v>Cash</c:v>
                </c:pt>
                <c:pt idx="2">
                  <c:v>UPI</c:v>
                </c:pt>
              </c:strCache>
            </c:strRef>
          </c:cat>
          <c:val>
            <c:numRef>
              <c:f>CONTENTS!$E$31:$E$34</c:f>
              <c:numCache>
                <c:formatCode>General</c:formatCode>
                <c:ptCount val="3"/>
                <c:pt idx="0">
                  <c:v>17</c:v>
                </c:pt>
                <c:pt idx="1">
                  <c:v>10</c:v>
                </c:pt>
                <c:pt idx="2">
                  <c:v>23</c:v>
                </c:pt>
              </c:numCache>
            </c:numRef>
          </c:val>
          <c:extLst xmlns:c16r2="http://schemas.microsoft.com/office/drawing/2015/06/chart">
            <c:ext xmlns:c16="http://schemas.microsoft.com/office/drawing/2014/chart" uri="{C3380CC4-5D6E-409C-BE32-E72D297353CC}">
              <c16:uniqueId val="{00000006-F007-4939-886A-698CC9C809D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0258001158430916"/>
          <c:y val="0.44968001340258001"/>
          <c:w val="0.24293083023266346"/>
          <c:h val="0.308060907280207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accent4"/>
    </a:solidFill>
    <a:ln w="9525" cap="flat" cmpd="sng" algn="ctr">
      <a:solidFill>
        <a:schemeClr val="tx1"/>
      </a:solidFill>
      <a:round/>
    </a:ln>
    <a:effectLst>
      <a:glow rad="139700">
        <a:schemeClr val="accent4">
          <a:satMod val="175000"/>
          <a:alpha val="40000"/>
        </a:schemeClr>
      </a:glow>
      <a:innerShdw blurRad="114300">
        <a:prstClr val="black"/>
      </a:innerShdw>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[UBER_DASHBOARD (1) (1) ARDRA. (3).xlsx]CONTENTS!PivotTable5</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TRIP</a:t>
            </a:r>
            <a:r>
              <a:rPr lang="en-US" baseline="0"/>
              <a:t> TYPE BY REVENUE</a:t>
            </a:r>
            <a:endParaRPr lang="en-US"/>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a:sp3d/>
        </c:spPr>
      </c:pivotFmt>
      <c:pivotFmt>
        <c:idx val="2"/>
        <c:spPr>
          <a:solidFill>
            <a:schemeClr val="accent6"/>
          </a:solidFill>
          <a:ln>
            <a:noFill/>
          </a:ln>
          <a:effectLst>
            <a:outerShdw blurRad="254000" sx="102000" sy="102000" algn="ctr" rotWithShape="0">
              <a:prstClr val="black">
                <a:alpha val="20000"/>
              </a:prstClr>
            </a:outerShdw>
          </a:effectLst>
          <a:sp3d/>
        </c:spPr>
      </c:pivotFmt>
      <c:pivotFmt>
        <c:idx val="3"/>
        <c:spPr>
          <a:solidFill>
            <a:schemeClr val="accent6"/>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4"/>
        <c:spPr>
          <a:solidFill>
            <a:schemeClr val="accent6"/>
          </a:solidFill>
          <a:ln>
            <a:noFill/>
          </a:ln>
          <a:effectLst>
            <a:outerShdw blurRad="254000" sx="102000" sy="102000" algn="ctr" rotWithShape="0">
              <a:prstClr val="black">
                <a:alpha val="20000"/>
              </a:prstClr>
            </a:outerShdw>
          </a:effectLst>
          <a:sp3d/>
        </c:spPr>
      </c:pivotFmt>
      <c:pivotFmt>
        <c:idx val="5"/>
        <c:spPr>
          <a:solidFill>
            <a:schemeClr val="accent6"/>
          </a:solidFill>
          <a:ln>
            <a:noFill/>
          </a:ln>
          <a:effectLst>
            <a:outerShdw blurRad="254000" sx="102000" sy="102000" algn="ctr" rotWithShape="0">
              <a:prstClr val="black">
                <a:alpha val="20000"/>
              </a:prstClr>
            </a:outerShdw>
          </a:effectLst>
          <a:sp3d/>
        </c:spPr>
      </c:pivotFmt>
      <c:pivotFmt>
        <c:idx val="6"/>
        <c:spPr>
          <a:solidFill>
            <a:schemeClr val="accent6"/>
          </a:solidFill>
          <a:ln>
            <a:noFill/>
          </a:ln>
          <a:effectLst>
            <a:outerShdw blurRad="254000" sx="102000" sy="102000" algn="ctr" rotWithShape="0">
              <a:prstClr val="black">
                <a:alpha val="20000"/>
              </a:prstClr>
            </a:outerShdw>
          </a:effectLst>
          <a:sp3d/>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xmlns:c16r2="http://schemas.microsoft.com/office/drawing/2015/06/chart">
            <c:ext xmlns:c15="http://schemas.microsoft.com/office/drawing/2012/chart" uri="{CE6537A1-D6FC-4f65-9D91-7224C49458BB}">
              <c15:layout/>
            </c:ext>
          </c:extLst>
        </c:dLbl>
      </c:pivotFmt>
      <c:pivotFmt>
        <c:idx val="7"/>
        <c:spPr>
          <a:solidFill>
            <a:schemeClr val="accent6"/>
          </a:solidFill>
          <a:ln>
            <a:noFill/>
          </a:ln>
          <a:effectLst>
            <a:outerShdw blurRad="254000" sx="102000" sy="102000" algn="ctr" rotWithShape="0">
              <a:prstClr val="black">
                <a:alpha val="20000"/>
              </a:prstClr>
            </a:outerShdw>
          </a:effectLst>
          <a:sp3d/>
        </c:spPr>
      </c:pivotFmt>
      <c:pivotFmt>
        <c:idx val="8"/>
        <c:spPr>
          <a:solidFill>
            <a:schemeClr val="accent6"/>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4674552922018556E-2"/>
          <c:y val="0.27886759165132929"/>
          <c:w val="0.74071146245059294"/>
          <c:h val="0.64250846408326723"/>
        </c:manualLayout>
      </c:layout>
      <c:pie3DChart>
        <c:varyColors val="1"/>
        <c:ser>
          <c:idx val="0"/>
          <c:order val="0"/>
          <c:tx>
            <c:strRef>
              <c:f>CONTENTS!$K$30</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a:sp3d/>
            </c:spPr>
            <c:extLst xmlns:c16r2="http://schemas.microsoft.com/office/drawing/2015/06/chart">
              <c:ext xmlns:c16="http://schemas.microsoft.com/office/drawing/2014/chart" uri="{C3380CC4-5D6E-409C-BE32-E72D297353CC}">
                <c16:uniqueId val="{00000001-8421-4B3E-8C4C-5D3425AE1C6E}"/>
              </c:ext>
            </c:extLst>
          </c:dPt>
          <c:dPt>
            <c:idx val="1"/>
            <c:bubble3D val="0"/>
            <c:spPr>
              <a:solidFill>
                <a:schemeClr val="accent5"/>
              </a:solidFill>
              <a:ln>
                <a:noFill/>
              </a:ln>
              <a:effectLst>
                <a:outerShdw blurRad="254000" sx="102000" sy="102000" algn="ctr" rotWithShape="0">
                  <a:prstClr val="black">
                    <a:alpha val="20000"/>
                  </a:prstClr>
                </a:outerShdw>
              </a:effectLst>
              <a:sp3d/>
            </c:spPr>
            <c:extLst xmlns:c16r2="http://schemas.microsoft.com/office/drawing/2015/06/chart">
              <c:ext xmlns:c16="http://schemas.microsoft.com/office/drawing/2014/chart" uri="{C3380CC4-5D6E-409C-BE32-E72D297353CC}">
                <c16:uniqueId val="{00000003-8421-4B3E-8C4C-5D3425AE1C6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CONTENTS!$J$31:$J$33</c:f>
              <c:strCache>
                <c:ptCount val="2"/>
                <c:pt idx="0">
                  <c:v>Airport</c:v>
                </c:pt>
                <c:pt idx="1">
                  <c:v>City</c:v>
                </c:pt>
              </c:strCache>
            </c:strRef>
          </c:cat>
          <c:val>
            <c:numRef>
              <c:f>CONTENTS!$K$31:$K$33</c:f>
              <c:numCache>
                <c:formatCode>General</c:formatCode>
                <c:ptCount val="2"/>
                <c:pt idx="0">
                  <c:v>8400</c:v>
                </c:pt>
                <c:pt idx="1">
                  <c:v>9642</c:v>
                </c:pt>
              </c:numCache>
            </c:numRef>
          </c:val>
          <c:extLst xmlns:c16r2="http://schemas.microsoft.com/office/drawing/2015/06/chart">
            <c:ext xmlns:c16="http://schemas.microsoft.com/office/drawing/2014/chart" uri="{C3380CC4-5D6E-409C-BE32-E72D297353CC}">
              <c16:uniqueId val="{00000004-8421-4B3E-8C4C-5D3425AE1C6E}"/>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tx2">
        <a:lumMod val="50000"/>
        <a:lumOff val="50000"/>
      </a:schemeClr>
    </a:solidFill>
    <a:ln w="9525" cap="flat" cmpd="sng" algn="ctr">
      <a:solidFill>
        <a:schemeClr val="tx1"/>
      </a:solidFill>
      <a:round/>
    </a:ln>
    <a:effectLst>
      <a:glow rad="63500">
        <a:schemeClr val="accent1">
          <a:satMod val="175000"/>
          <a:alpha val="40000"/>
        </a:schemeClr>
      </a:glow>
      <a:innerShdw blurRad="114300">
        <a:prstClr val="black"/>
      </a:innerShdw>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[UBER_DASHBOARD (1) (1) ARDRA. (3).xlsx]CONTENTS!PivotTable6</c:name>
    <c:fmtId val="11"/>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CUSTOMER</a:t>
            </a:r>
            <a:r>
              <a:rPr lang="en-US" baseline="0"/>
              <a:t> TYPE DISTRIBUTION</a:t>
            </a:r>
            <a:endParaRPr lang="en-US"/>
          </a:p>
        </c:rich>
      </c:tx>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1"/>
          <c:showSerName val="0"/>
          <c:showPercent val="0"/>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p3d/>
        </c:spPr>
        <c:dLbl>
          <c:idx val="0"/>
          <c:layout>
            <c:manualLayout>
              <c:x val="5.3840063341250931E-2"/>
              <c:y val="-0.3114754098360655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1"/>
          <c:showSerName val="0"/>
          <c:showPercent val="0"/>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1"/>
          <c:showSerName val="0"/>
          <c:showPercent val="0"/>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a:sp3d/>
        </c:spPr>
        <c:dLbl>
          <c:idx val="0"/>
          <c:layout>
            <c:manualLayout>
              <c:x val="5.3840063341250931E-2"/>
              <c:y val="-0.3114754098360655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1"/>
          <c:showSerName val="0"/>
          <c:showPercent val="0"/>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a:sp3d/>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1"/>
          <c:showSerName val="0"/>
          <c:showPercent val="0"/>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5"/>
        <c:spPr>
          <a:solidFill>
            <a:schemeClr val="accent1"/>
          </a:solidFill>
          <a:ln>
            <a:noFill/>
          </a:ln>
          <a:effectLst/>
          <a:sp3d/>
        </c:spPr>
        <c:dLbl>
          <c:idx val="0"/>
          <c:layout>
            <c:manualLayout>
              <c:x val="5.3840063341250931E-2"/>
              <c:y val="-0.3114754098360655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1"/>
          <c:showSerName val="0"/>
          <c:showPercent val="0"/>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1753563707024297E-2"/>
          <c:y val="0.15906803084270887"/>
          <c:w val="0.75923716186308066"/>
          <c:h val="0.59111752936620632"/>
        </c:manualLayout>
      </c:layout>
      <c:bar3DChart>
        <c:barDir val="col"/>
        <c:grouping val="stacked"/>
        <c:varyColors val="0"/>
        <c:ser>
          <c:idx val="0"/>
          <c:order val="0"/>
          <c:tx>
            <c:strRef>
              <c:f>CONTENTS!$P$33</c:f>
              <c:strCache>
                <c:ptCount val="1"/>
                <c:pt idx="0">
                  <c:v>Total</c:v>
                </c:pt>
              </c:strCache>
            </c:strRef>
          </c:tx>
          <c:spPr>
            <a:solidFill>
              <a:schemeClr val="accent1"/>
            </a:solidFill>
            <a:ln>
              <a:noFill/>
            </a:ln>
            <a:effectLst/>
            <a:sp3d/>
          </c:spPr>
          <c:invertIfNegative val="0"/>
          <c:dPt>
            <c:idx val="0"/>
            <c:invertIfNegative val="0"/>
            <c:bubble3D val="0"/>
            <c:extLst xmlns:c16r2="http://schemas.microsoft.com/office/drawing/2015/06/chart">
              <c:ext xmlns:c16="http://schemas.microsoft.com/office/drawing/2014/chart" uri="{C3380CC4-5D6E-409C-BE32-E72D297353CC}">
                <c16:uniqueId val="{00000000-2F33-4E94-8055-A1F073002A21}"/>
              </c:ext>
            </c:extLst>
          </c:dPt>
          <c:dPt>
            <c:idx val="1"/>
            <c:invertIfNegative val="0"/>
            <c:bubble3D val="0"/>
            <c:spPr>
              <a:solidFill>
                <a:schemeClr val="accent1"/>
              </a:solidFill>
              <a:ln>
                <a:noFill/>
              </a:ln>
              <a:effectLst/>
              <a:sp3d/>
            </c:spPr>
          </c:dPt>
          <c:dLbls>
            <c:dLbl>
              <c:idx val="1"/>
              <c:layout>
                <c:manualLayout>
                  <c:x val="5.3840063341250931E-2"/>
                  <c:y val="-0.31147540983606559"/>
                </c:manualLayout>
              </c:layout>
              <c:showLegendKey val="0"/>
              <c:showVal val="1"/>
              <c:showCatName val="1"/>
              <c:showSerName val="0"/>
              <c:showPercent val="0"/>
              <c:showBubbleSize val="0"/>
              <c:extLst xmlns:c16r2="http://schemas.microsoft.com/office/drawing/2015/06/chart">
                <c:ext xmlns:c15="http://schemas.microsoft.com/office/drawing/2012/chart" uri="{CE6537A1-D6FC-4f65-9D91-7224C49458BB}">
                  <c15:layout/>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layout/>
                <c15:showLeaderLines val="1"/>
                <c15:leaderLines>
                  <c:spPr>
                    <a:ln w="9525" cap="flat" cmpd="sng" algn="ctr">
                      <a:solidFill>
                        <a:schemeClr val="tx1">
                          <a:lumMod val="35000"/>
                          <a:lumOff val="65000"/>
                        </a:schemeClr>
                      </a:solidFill>
                      <a:round/>
                    </a:ln>
                    <a:effectLst/>
                  </c:spPr>
                </c15:leaderLines>
              </c:ext>
            </c:extLst>
          </c:dLbls>
          <c:cat>
            <c:strRef>
              <c:f>CONTENTS!$O$34:$O$37</c:f>
              <c:strCache>
                <c:ptCount val="3"/>
                <c:pt idx="0">
                  <c:v>New</c:v>
                </c:pt>
                <c:pt idx="1">
                  <c:v>Premium</c:v>
                </c:pt>
                <c:pt idx="2">
                  <c:v>Regular</c:v>
                </c:pt>
              </c:strCache>
            </c:strRef>
          </c:cat>
          <c:val>
            <c:numRef>
              <c:f>CONTENTS!$P$34:$P$37</c:f>
              <c:numCache>
                <c:formatCode>General</c:formatCode>
                <c:ptCount val="3"/>
                <c:pt idx="0">
                  <c:v>13</c:v>
                </c:pt>
                <c:pt idx="1">
                  <c:v>11</c:v>
                </c:pt>
                <c:pt idx="2">
                  <c:v>26</c:v>
                </c:pt>
              </c:numCache>
            </c:numRef>
          </c:val>
          <c:extLst xmlns:c16r2="http://schemas.microsoft.com/office/drawing/2015/06/chart">
            <c:ext xmlns:c16="http://schemas.microsoft.com/office/drawing/2014/chart" uri="{C3380CC4-5D6E-409C-BE32-E72D297353CC}">
              <c16:uniqueId val="{00000001-2F33-4E94-8055-A1F073002A21}"/>
            </c:ext>
          </c:extLst>
        </c:ser>
        <c:dLbls>
          <c:showLegendKey val="0"/>
          <c:showVal val="0"/>
          <c:showCatName val="0"/>
          <c:showSerName val="0"/>
          <c:showPercent val="0"/>
          <c:showBubbleSize val="0"/>
        </c:dLbls>
        <c:gapWidth val="150"/>
        <c:shape val="box"/>
        <c:axId val="-2116363504"/>
        <c:axId val="-2116373840"/>
        <c:axId val="0"/>
      </c:bar3DChart>
      <c:catAx>
        <c:axId val="-21163635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116373840"/>
        <c:crosses val="autoZero"/>
        <c:auto val="1"/>
        <c:lblAlgn val="ctr"/>
        <c:lblOffset val="100"/>
        <c:noMultiLvlLbl val="0"/>
      </c:catAx>
      <c:valAx>
        <c:axId val="-2116373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1163635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tx2">
        <a:lumMod val="50000"/>
        <a:lumOff val="50000"/>
      </a:schemeClr>
    </a:solidFill>
    <a:ln w="9525" cap="flat" cmpd="sng" algn="ctr">
      <a:solidFill>
        <a:schemeClr val="tx1"/>
      </a:solidFill>
      <a:round/>
    </a:ln>
    <a:effectLst>
      <a:glow rad="101600">
        <a:schemeClr val="accent3">
          <a:satMod val="175000"/>
          <a:alpha val="40000"/>
        </a:schemeClr>
      </a:glow>
      <a:innerShdw blurRad="63500" dist="50800" dir="16200000">
        <a:prstClr val="black">
          <a:alpha val="50000"/>
        </a:prstClr>
      </a:innerShdw>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Reversed" id="26">
  <a:schemeClr val="accent6"/>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11.xml"/><Relationship Id="rId7" Type="http://schemas.openxmlformats.org/officeDocument/2006/relationships/image" Target="../media/image1.pn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390525</xdr:colOff>
      <xdr:row>16</xdr:row>
      <xdr:rowOff>177800</xdr:rowOff>
    </xdr:from>
    <xdr:to>
      <xdr:col>7</xdr:col>
      <xdr:colOff>384175</xdr:colOff>
      <xdr:row>27</xdr:row>
      <xdr:rowOff>152400</xdr:rowOff>
    </xdr:to>
    <xdr:graphicFrame macro="">
      <xdr:nvGraphicFramePr>
        <xdr:cNvPr id="2" name="Chart 1">
          <a:extLst>
            <a:ext uri="{FF2B5EF4-FFF2-40B4-BE49-F238E27FC236}">
              <a16:creationId xmlns:a16="http://schemas.microsoft.com/office/drawing/2014/main" xmlns="" id="{45570072-326A-18B8-AF71-14DC45C7E8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73025</xdr:colOff>
      <xdr:row>0</xdr:row>
      <xdr:rowOff>95250</xdr:rowOff>
    </xdr:from>
    <xdr:to>
      <xdr:col>15</xdr:col>
      <xdr:colOff>95250</xdr:colOff>
      <xdr:row>13</xdr:row>
      <xdr:rowOff>165100</xdr:rowOff>
    </xdr:to>
    <xdr:graphicFrame macro="">
      <xdr:nvGraphicFramePr>
        <xdr:cNvPr id="3" name="Chart 2">
          <a:extLst>
            <a:ext uri="{FF2B5EF4-FFF2-40B4-BE49-F238E27FC236}">
              <a16:creationId xmlns:a16="http://schemas.microsoft.com/office/drawing/2014/main" xmlns="" id="{1B3D89DE-4E2C-0931-A79C-29E95CD161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215900</xdr:colOff>
      <xdr:row>8</xdr:row>
      <xdr:rowOff>12699</xdr:rowOff>
    </xdr:from>
    <xdr:to>
      <xdr:col>24</xdr:col>
      <xdr:colOff>533400</xdr:colOff>
      <xdr:row>27</xdr:row>
      <xdr:rowOff>9524</xdr:rowOff>
    </xdr:to>
    <xdr:graphicFrame macro="">
      <xdr:nvGraphicFramePr>
        <xdr:cNvPr id="4" name="Chart 3">
          <a:extLst>
            <a:ext uri="{FF2B5EF4-FFF2-40B4-BE49-F238E27FC236}">
              <a16:creationId xmlns:a16="http://schemas.microsoft.com/office/drawing/2014/main" xmlns="" id="{8E9A2144-8060-235A-25EB-A1ED901761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95250</xdr:colOff>
      <xdr:row>35</xdr:row>
      <xdr:rowOff>101600</xdr:rowOff>
    </xdr:from>
    <xdr:to>
      <xdr:col>7</xdr:col>
      <xdr:colOff>266700</xdr:colOff>
      <xdr:row>49</xdr:row>
      <xdr:rowOff>120650</xdr:rowOff>
    </xdr:to>
    <xdr:graphicFrame macro="">
      <xdr:nvGraphicFramePr>
        <xdr:cNvPr id="5" name="Chart 4">
          <a:extLst>
            <a:ext uri="{FF2B5EF4-FFF2-40B4-BE49-F238E27FC236}">
              <a16:creationId xmlns:a16="http://schemas.microsoft.com/office/drawing/2014/main" xmlns="" id="{DC86DA74-2406-C260-FFC0-E85172FB59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82550</xdr:colOff>
      <xdr:row>35</xdr:row>
      <xdr:rowOff>114300</xdr:rowOff>
    </xdr:from>
    <xdr:to>
      <xdr:col>12</xdr:col>
      <xdr:colOff>660400</xdr:colOff>
      <xdr:row>49</xdr:row>
      <xdr:rowOff>31750</xdr:rowOff>
    </xdr:to>
    <xdr:graphicFrame macro="">
      <xdr:nvGraphicFramePr>
        <xdr:cNvPr id="6" name="Chart 5">
          <a:extLst>
            <a:ext uri="{FF2B5EF4-FFF2-40B4-BE49-F238E27FC236}">
              <a16:creationId xmlns:a16="http://schemas.microsoft.com/office/drawing/2014/main" xmlns="" id="{F838E932-EA07-9B4E-CD6A-8F1BFDB61D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393700</xdr:colOff>
      <xdr:row>38</xdr:row>
      <xdr:rowOff>152400</xdr:rowOff>
    </xdr:from>
    <xdr:to>
      <xdr:col>17</xdr:col>
      <xdr:colOff>1003300</xdr:colOff>
      <xdr:row>55</xdr:row>
      <xdr:rowOff>12700</xdr:rowOff>
    </xdr:to>
    <xdr:graphicFrame macro="">
      <xdr:nvGraphicFramePr>
        <xdr:cNvPr id="7" name="Chart 6">
          <a:extLst>
            <a:ext uri="{FF2B5EF4-FFF2-40B4-BE49-F238E27FC236}">
              <a16:creationId xmlns:a16="http://schemas.microsoft.com/office/drawing/2014/main" xmlns="" id="{B2402EEB-105F-7BD1-5A07-66086F62B4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28</xdr:col>
      <xdr:colOff>781050</xdr:colOff>
      <xdr:row>13</xdr:row>
      <xdr:rowOff>41275</xdr:rowOff>
    </xdr:from>
    <xdr:to>
      <xdr:col>35</xdr:col>
      <xdr:colOff>400050</xdr:colOff>
      <xdr:row>27</xdr:row>
      <xdr:rowOff>168275</xdr:rowOff>
    </xdr:to>
    <xdr:graphicFrame macro="">
      <xdr:nvGraphicFramePr>
        <xdr:cNvPr id="8" name="Chart 7">
          <a:extLst>
            <a:ext uri="{FF2B5EF4-FFF2-40B4-BE49-F238E27FC236}">
              <a16:creationId xmlns:a16="http://schemas.microsoft.com/office/drawing/2014/main" xmlns="" id="{9A2EECE3-B89D-2AFB-E3BA-F2DF4E88DB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431800</xdr:colOff>
      <xdr:row>39</xdr:row>
      <xdr:rowOff>12700</xdr:rowOff>
    </xdr:from>
    <xdr:to>
      <xdr:col>25</xdr:col>
      <xdr:colOff>184150</xdr:colOff>
      <xdr:row>53</xdr:row>
      <xdr:rowOff>177800</xdr:rowOff>
    </xdr:to>
    <xdr:graphicFrame macro="">
      <xdr:nvGraphicFramePr>
        <xdr:cNvPr id="9" name="Chart 8">
          <a:extLst>
            <a:ext uri="{FF2B5EF4-FFF2-40B4-BE49-F238E27FC236}">
              <a16:creationId xmlns:a16="http://schemas.microsoft.com/office/drawing/2014/main" xmlns="" id="{A1A22134-F560-5A69-CAD2-15A9EBDA04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xdr:col>
      <xdr:colOff>2257425</xdr:colOff>
      <xdr:row>35</xdr:row>
      <xdr:rowOff>142875</xdr:rowOff>
    </xdr:from>
    <xdr:to>
      <xdr:col>1</xdr:col>
      <xdr:colOff>4086225</xdr:colOff>
      <xdr:row>49</xdr:row>
      <xdr:rowOff>142875</xdr:rowOff>
    </xdr:to>
    <mc:AlternateContent xmlns:mc="http://schemas.openxmlformats.org/markup-compatibility/2006" xmlns:a14="http://schemas.microsoft.com/office/drawing/2010/main">
      <mc:Choice Requires="a14">
        <xdr:graphicFrame macro="">
          <xdr:nvGraphicFramePr>
            <xdr:cNvPr id="11" name="Payment_Mode">
              <a:extLst>
                <a:ext uri="{FF2B5EF4-FFF2-40B4-BE49-F238E27FC236}">
                  <a16:creationId xmlns:a16="http://schemas.microsoft.com/office/drawing/2014/main" xmlns="" id="{A190D1CF-CC73-7040-7731-6016B58806AA}"/>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4314825" y="68484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352425</xdr:colOff>
      <xdr:row>49</xdr:row>
      <xdr:rowOff>171450</xdr:rowOff>
    </xdr:from>
    <xdr:to>
      <xdr:col>13</xdr:col>
      <xdr:colOff>361950</xdr:colOff>
      <xdr:row>63</xdr:row>
      <xdr:rowOff>171450</xdr:rowOff>
    </xdr:to>
    <mc:AlternateContent xmlns:mc="http://schemas.openxmlformats.org/markup-compatibility/2006" xmlns:a14="http://schemas.microsoft.com/office/drawing/2010/main">
      <mc:Choice Requires="a14">
        <xdr:graphicFrame macro="">
          <xdr:nvGraphicFramePr>
            <xdr:cNvPr id="12" name="Customer_Type">
              <a:extLst>
                <a:ext uri="{FF2B5EF4-FFF2-40B4-BE49-F238E27FC236}">
                  <a16:creationId xmlns:a16="http://schemas.microsoft.com/office/drawing/2014/main" xmlns="" id="{7D9761DA-F92F-3238-525F-42F35995CB3D}"/>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13773150" y="95440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114300</xdr:colOff>
      <xdr:row>13</xdr:row>
      <xdr:rowOff>28575</xdr:rowOff>
    </xdr:from>
    <xdr:to>
      <xdr:col>28</xdr:col>
      <xdr:colOff>723900</xdr:colOff>
      <xdr:row>26</xdr:row>
      <xdr:rowOff>180975</xdr:rowOff>
    </xdr:to>
    <mc:AlternateContent xmlns:mc="http://schemas.openxmlformats.org/markup-compatibility/2006" xmlns:a14="http://schemas.microsoft.com/office/drawing/2010/main">
      <mc:Choice Requires="a14">
        <xdr:graphicFrame macro="">
          <xdr:nvGraphicFramePr>
            <xdr:cNvPr id="13" name="Status">
              <a:extLst>
                <a:ext uri="{FF2B5EF4-FFF2-40B4-BE49-F238E27FC236}">
                  <a16:creationId xmlns:a16="http://schemas.microsoft.com/office/drawing/2014/main" xmlns="" id="{DC3AD802-9691-8BF5-4D62-736318927F7E}"/>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25888950" y="25050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276225</xdr:colOff>
      <xdr:row>40</xdr:row>
      <xdr:rowOff>28575</xdr:rowOff>
    </xdr:from>
    <xdr:to>
      <xdr:col>28</xdr:col>
      <xdr:colOff>276225</xdr:colOff>
      <xdr:row>54</xdr:row>
      <xdr:rowOff>28575</xdr:rowOff>
    </xdr:to>
    <mc:AlternateContent xmlns:mc="http://schemas.openxmlformats.org/markup-compatibility/2006" xmlns:a14="http://schemas.microsoft.com/office/drawing/2010/main">
      <mc:Choice Requires="a14">
        <xdr:graphicFrame macro="">
          <xdr:nvGraphicFramePr>
            <xdr:cNvPr id="14" name="Vehicle_Type">
              <a:extLst>
                <a:ext uri="{FF2B5EF4-FFF2-40B4-BE49-F238E27FC236}">
                  <a16:creationId xmlns:a16="http://schemas.microsoft.com/office/drawing/2014/main" xmlns="" id="{0447D141-D028-6708-80AF-4B2786B6E51F}"/>
                </a:ext>
              </a:extLst>
            </xdr:cNvPr>
            <xdr:cNvGraphicFramePr/>
          </xdr:nvGraphicFramePr>
          <xdr:xfrm>
            <a:off x="0" y="0"/>
            <a:ext cx="0" cy="0"/>
          </xdr:xfrm>
          <a:graphic>
            <a:graphicData uri="http://schemas.microsoft.com/office/drawing/2010/slicer">
              <sle:slicer xmlns:sle="http://schemas.microsoft.com/office/drawing/2010/slicer" name="Vehicle_Type"/>
            </a:graphicData>
          </a:graphic>
        </xdr:graphicFrame>
      </mc:Choice>
      <mc:Fallback xmlns="">
        <xdr:sp macro="" textlink="">
          <xdr:nvSpPr>
            <xdr:cNvPr id="0" name=""/>
            <xdr:cNvSpPr>
              <a:spLocks noTextEdit="1"/>
            </xdr:cNvSpPr>
          </xdr:nvSpPr>
          <xdr:spPr>
            <a:xfrm>
              <a:off x="25441275" y="76866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600075</xdr:colOff>
      <xdr:row>14</xdr:row>
      <xdr:rowOff>95250</xdr:rowOff>
    </xdr:from>
    <xdr:to>
      <xdr:col>10</xdr:col>
      <xdr:colOff>180975</xdr:colOff>
      <xdr:row>28</xdr:row>
      <xdr:rowOff>57150</xdr:rowOff>
    </xdr:to>
    <mc:AlternateContent xmlns:mc="http://schemas.openxmlformats.org/markup-compatibility/2006" xmlns:a14="http://schemas.microsoft.com/office/drawing/2010/main">
      <mc:Choice Requires="a14">
        <xdr:graphicFrame macro="">
          <xdr:nvGraphicFramePr>
            <xdr:cNvPr id="15" name="City">
              <a:extLst>
                <a:ext uri="{FF2B5EF4-FFF2-40B4-BE49-F238E27FC236}">
                  <a16:creationId xmlns:a16="http://schemas.microsoft.com/office/drawing/2014/main" xmlns="" id="{66B45D5A-C3D4-9EB1-BD87-B2EEE901FBF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801350" y="27622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17318</xdr:rowOff>
    </xdr:from>
    <xdr:to>
      <xdr:col>47</xdr:col>
      <xdr:colOff>442231</xdr:colOff>
      <xdr:row>79</xdr:row>
      <xdr:rowOff>170090</xdr:rowOff>
    </xdr:to>
    <xdr:sp macro="" textlink="">
      <xdr:nvSpPr>
        <xdr:cNvPr id="4" name="TextBox 3">
          <a:extLst>
            <a:ext uri="{FF2B5EF4-FFF2-40B4-BE49-F238E27FC236}">
              <a16:creationId xmlns:a16="http://schemas.microsoft.com/office/drawing/2014/main" xmlns="" id="{E0C0A6F9-5EF7-8686-D449-0E3201086ECD}"/>
            </a:ext>
          </a:extLst>
        </xdr:cNvPr>
        <xdr:cNvSpPr txBox="1"/>
      </xdr:nvSpPr>
      <xdr:spPr>
        <a:xfrm>
          <a:off x="0" y="17318"/>
          <a:ext cx="29221338" cy="16277236"/>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p>
      </xdr:txBody>
    </xdr:sp>
    <xdr:clientData/>
  </xdr:twoCellAnchor>
  <xdr:twoCellAnchor>
    <xdr:from>
      <xdr:col>16</xdr:col>
      <xdr:colOff>186765</xdr:colOff>
      <xdr:row>1</xdr:row>
      <xdr:rowOff>32682</xdr:rowOff>
    </xdr:from>
    <xdr:to>
      <xdr:col>24</xdr:col>
      <xdr:colOff>317500</xdr:colOff>
      <xdr:row>7</xdr:row>
      <xdr:rowOff>149411</xdr:rowOff>
    </xdr:to>
    <xdr:sp macro="" textlink="">
      <xdr:nvSpPr>
        <xdr:cNvPr id="6" name="TextBox 5">
          <a:extLst>
            <a:ext uri="{FF2B5EF4-FFF2-40B4-BE49-F238E27FC236}">
              <a16:creationId xmlns:a16="http://schemas.microsoft.com/office/drawing/2014/main" xmlns="" id="{ED364949-9252-02E1-7AD3-D037D05518FE}"/>
            </a:ext>
          </a:extLst>
        </xdr:cNvPr>
        <xdr:cNvSpPr txBox="1"/>
      </xdr:nvSpPr>
      <xdr:spPr>
        <a:xfrm>
          <a:off x="10047941" y="219447"/>
          <a:ext cx="5061324" cy="1237317"/>
        </a:xfrm>
        <a:prstGeom prst="roundRect">
          <a:avLst>
            <a:gd name="adj" fmla="val 50000"/>
          </a:avLst>
        </a:prstGeom>
        <a:solidFill>
          <a:schemeClr val="tx2">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Mongolian Baiti" panose="03000500000000000000" pitchFamily="66" charset="0"/>
              <a:cs typeface="Mongolian Baiti" panose="03000500000000000000" pitchFamily="66" charset="0"/>
            </a:rPr>
            <a:t>                           </a:t>
          </a:r>
        </a:p>
        <a:p>
          <a:pPr algn="ctr"/>
          <a:r>
            <a:rPr lang="en-US" sz="2800" b="1">
              <a:latin typeface="Mongolian Baiti" panose="03000500000000000000" pitchFamily="66" charset="0"/>
              <a:cs typeface="Mongolian Baiti" panose="03000500000000000000" pitchFamily="66" charset="0"/>
            </a:rPr>
            <a:t>   UBER DASHBOARD</a:t>
          </a:r>
        </a:p>
      </xdr:txBody>
    </xdr:sp>
    <xdr:clientData/>
  </xdr:twoCellAnchor>
  <xdr:oneCellAnchor>
    <xdr:from>
      <xdr:col>11</xdr:col>
      <xdr:colOff>209550</xdr:colOff>
      <xdr:row>53</xdr:row>
      <xdr:rowOff>104775</xdr:rowOff>
    </xdr:from>
    <xdr:ext cx="184731" cy="264560"/>
    <xdr:sp macro="" textlink="">
      <xdr:nvSpPr>
        <xdr:cNvPr id="7" name="TextBox 6">
          <a:extLst>
            <a:ext uri="{FF2B5EF4-FFF2-40B4-BE49-F238E27FC236}">
              <a16:creationId xmlns:a16="http://schemas.microsoft.com/office/drawing/2014/main" xmlns="" id="{E39EA8A5-AF30-3B42-E624-1DD4BE27D36D}"/>
            </a:ext>
          </a:extLst>
        </xdr:cNvPr>
        <xdr:cNvSpPr txBox="1"/>
      </xdr:nvSpPr>
      <xdr:spPr>
        <a:xfrm>
          <a:off x="6915150" y="10201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xdr:col>
      <xdr:colOff>8590</xdr:colOff>
      <xdr:row>9</xdr:row>
      <xdr:rowOff>57150</xdr:rowOff>
    </xdr:from>
    <xdr:to>
      <xdr:col>8</xdr:col>
      <xdr:colOff>168088</xdr:colOff>
      <xdr:row>14</xdr:row>
      <xdr:rowOff>112059</xdr:rowOff>
    </xdr:to>
    <xdr:sp macro="" textlink="">
      <xdr:nvSpPr>
        <xdr:cNvPr id="8" name="TextBox 7">
          <a:extLst>
            <a:ext uri="{FF2B5EF4-FFF2-40B4-BE49-F238E27FC236}">
              <a16:creationId xmlns:a16="http://schemas.microsoft.com/office/drawing/2014/main" xmlns="" id="{C3C4C39D-67DF-4B3F-5377-A660B6A5F16A}"/>
            </a:ext>
          </a:extLst>
        </xdr:cNvPr>
        <xdr:cNvSpPr txBox="1"/>
      </xdr:nvSpPr>
      <xdr:spPr>
        <a:xfrm>
          <a:off x="624914" y="1738032"/>
          <a:ext cx="4473762" cy="988733"/>
        </a:xfrm>
        <a:prstGeom prst="rect">
          <a:avLst/>
        </a:prstGeom>
        <a:solidFill>
          <a:schemeClr val="tx2">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latin typeface="Mongolian Baiti" panose="03000500000000000000" pitchFamily="66" charset="0"/>
              <a:cs typeface="Mongolian Baiti" panose="03000500000000000000" pitchFamily="66" charset="0"/>
            </a:rPr>
            <a:t>   TOTAL</a:t>
          </a:r>
          <a:r>
            <a:rPr lang="en-US" sz="2400" b="1" baseline="0">
              <a:latin typeface="Mongolian Baiti" panose="03000500000000000000" pitchFamily="66" charset="0"/>
              <a:cs typeface="Mongolian Baiti" panose="03000500000000000000" pitchFamily="66" charset="0"/>
            </a:rPr>
            <a:t> REVENUE</a:t>
          </a:r>
        </a:p>
        <a:p>
          <a:pPr algn="ctr"/>
          <a:r>
            <a:rPr lang="en-US" sz="2400" b="1">
              <a:latin typeface="Mongolian Baiti" panose="03000500000000000000" pitchFamily="66" charset="0"/>
              <a:cs typeface="Mongolian Baiti" panose="03000500000000000000" pitchFamily="66" charset="0"/>
            </a:rPr>
            <a:t>  18042</a:t>
          </a:r>
        </a:p>
        <a:p>
          <a:endParaRPr lang="en-US" sz="1400" b="1"/>
        </a:p>
      </xdr:txBody>
    </xdr:sp>
    <xdr:clientData/>
  </xdr:twoCellAnchor>
  <xdr:twoCellAnchor>
    <xdr:from>
      <xdr:col>1</xdr:col>
      <xdr:colOff>60884</xdr:colOff>
      <xdr:row>18</xdr:row>
      <xdr:rowOff>74707</xdr:rowOff>
    </xdr:from>
    <xdr:to>
      <xdr:col>9</xdr:col>
      <xdr:colOff>261469</xdr:colOff>
      <xdr:row>36</xdr:row>
      <xdr:rowOff>149412</xdr:rowOff>
    </xdr:to>
    <xdr:graphicFrame macro="">
      <xdr:nvGraphicFramePr>
        <xdr:cNvPr id="9" name="Chart 8">
          <a:extLst>
            <a:ext uri="{FF2B5EF4-FFF2-40B4-BE49-F238E27FC236}">
              <a16:creationId xmlns:a16="http://schemas.microsoft.com/office/drawing/2014/main" xmlns="" id="{18AACAF8-31DB-49A8-8BEA-6790F34037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387909</xdr:colOff>
      <xdr:row>17</xdr:row>
      <xdr:rowOff>149412</xdr:rowOff>
    </xdr:from>
    <xdr:to>
      <xdr:col>12</xdr:col>
      <xdr:colOff>448236</xdr:colOff>
      <xdr:row>36</xdr:row>
      <xdr:rowOff>40715</xdr:rowOff>
    </xdr:to>
    <mc:AlternateContent xmlns:mc="http://schemas.openxmlformats.org/markup-compatibility/2006" xmlns:a14="http://schemas.microsoft.com/office/drawing/2010/main">
      <mc:Choice Requires="a14">
        <xdr:graphicFrame macro="">
          <xdr:nvGraphicFramePr>
            <xdr:cNvPr id="11" name="City 1">
              <a:extLst>
                <a:ext uri="{FF2B5EF4-FFF2-40B4-BE49-F238E27FC236}">
                  <a16:creationId xmlns:a16="http://schemas.microsoft.com/office/drawing/2014/main" xmlns="" id="{3F7D2402-DFFC-462A-99DE-046BEE149778}"/>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5934821" y="3324412"/>
              <a:ext cx="1909297" cy="34398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410883</xdr:colOff>
      <xdr:row>9</xdr:row>
      <xdr:rowOff>37355</xdr:rowOff>
    </xdr:from>
    <xdr:to>
      <xdr:col>16</xdr:col>
      <xdr:colOff>144744</xdr:colOff>
      <xdr:row>14</xdr:row>
      <xdr:rowOff>74707</xdr:rowOff>
    </xdr:to>
    <xdr:sp macro="" textlink="">
      <xdr:nvSpPr>
        <xdr:cNvPr id="12" name="TextBox 11">
          <a:extLst>
            <a:ext uri="{FF2B5EF4-FFF2-40B4-BE49-F238E27FC236}">
              <a16:creationId xmlns:a16="http://schemas.microsoft.com/office/drawing/2014/main" xmlns="" id="{52AB95CC-F88C-964A-DD4A-5F630B2A13D6}"/>
            </a:ext>
          </a:extLst>
        </xdr:cNvPr>
        <xdr:cNvSpPr txBox="1"/>
      </xdr:nvSpPr>
      <xdr:spPr>
        <a:xfrm>
          <a:off x="5957795" y="1718237"/>
          <a:ext cx="4048125" cy="971176"/>
        </a:xfrm>
        <a:prstGeom prst="rect">
          <a:avLst/>
        </a:prstGeom>
        <a:solidFill>
          <a:schemeClr val="tx2">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latin typeface="Mongolian Baiti" panose="03000500000000000000" pitchFamily="66" charset="0"/>
              <a:cs typeface="Mongolian Baiti" panose="03000500000000000000" pitchFamily="66" charset="0"/>
            </a:rPr>
            <a:t>  TOTAL</a:t>
          </a:r>
          <a:r>
            <a:rPr lang="en-US" sz="2400" b="1" baseline="0">
              <a:latin typeface="Mongolian Baiti" panose="03000500000000000000" pitchFamily="66" charset="0"/>
              <a:cs typeface="Mongolian Baiti" panose="03000500000000000000" pitchFamily="66" charset="0"/>
            </a:rPr>
            <a:t>RIDES</a:t>
          </a:r>
          <a:endParaRPr lang="en-US" sz="2400" b="1">
            <a:latin typeface="Mongolian Baiti" panose="03000500000000000000" pitchFamily="66" charset="0"/>
            <a:cs typeface="Mongolian Baiti" panose="03000500000000000000" pitchFamily="66" charset="0"/>
          </a:endParaRPr>
        </a:p>
        <a:p>
          <a:pPr algn="ctr"/>
          <a:r>
            <a:rPr lang="en-US" sz="2400" b="1">
              <a:latin typeface="Mongolian Baiti" panose="03000500000000000000" pitchFamily="66" charset="0"/>
              <a:cs typeface="Mongolian Baiti" panose="03000500000000000000" pitchFamily="66" charset="0"/>
            </a:rPr>
            <a:t> 50</a:t>
          </a:r>
        </a:p>
      </xdr:txBody>
    </xdr:sp>
    <xdr:clientData/>
  </xdr:twoCellAnchor>
  <xdr:twoCellAnchor>
    <xdr:from>
      <xdr:col>14</xdr:col>
      <xdr:colOff>541618</xdr:colOff>
      <xdr:row>18</xdr:row>
      <xdr:rowOff>56029</xdr:rowOff>
    </xdr:from>
    <xdr:to>
      <xdr:col>24</xdr:col>
      <xdr:colOff>392205</xdr:colOff>
      <xdr:row>36</xdr:row>
      <xdr:rowOff>93383</xdr:rowOff>
    </xdr:to>
    <xdr:graphicFrame macro="">
      <xdr:nvGraphicFramePr>
        <xdr:cNvPr id="13" name="Chart 12">
          <a:extLst>
            <a:ext uri="{FF2B5EF4-FFF2-40B4-BE49-F238E27FC236}">
              <a16:creationId xmlns:a16="http://schemas.microsoft.com/office/drawing/2014/main" xmlns="" id="{54B5BB67-93FC-4CA6-8C75-6372C8DBF5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191433</xdr:colOff>
      <xdr:row>9</xdr:row>
      <xdr:rowOff>140074</xdr:rowOff>
    </xdr:from>
    <xdr:to>
      <xdr:col>24</xdr:col>
      <xdr:colOff>56028</xdr:colOff>
      <xdr:row>15</xdr:row>
      <xdr:rowOff>0</xdr:rowOff>
    </xdr:to>
    <xdr:sp macro="" textlink="">
      <xdr:nvSpPr>
        <xdr:cNvPr id="14" name="TextBox 13">
          <a:extLst>
            <a:ext uri="{FF2B5EF4-FFF2-40B4-BE49-F238E27FC236}">
              <a16:creationId xmlns:a16="http://schemas.microsoft.com/office/drawing/2014/main" xmlns="" id="{98BEAC19-7DBA-1B56-4221-03AB4FD455A1}"/>
            </a:ext>
          </a:extLst>
        </xdr:cNvPr>
        <xdr:cNvSpPr txBox="1"/>
      </xdr:nvSpPr>
      <xdr:spPr>
        <a:xfrm>
          <a:off x="10668933" y="1820956"/>
          <a:ext cx="4178860" cy="980515"/>
        </a:xfrm>
        <a:prstGeom prst="rect">
          <a:avLst/>
        </a:prstGeom>
        <a:solidFill>
          <a:schemeClr val="tx2">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latin typeface="Mongolian Baiti" panose="03000500000000000000" pitchFamily="66" charset="0"/>
              <a:cs typeface="Mongolian Baiti" panose="03000500000000000000" pitchFamily="66" charset="0"/>
            </a:rPr>
            <a:t>        COMPLETED </a:t>
          </a:r>
          <a:r>
            <a:rPr lang="en-US" sz="2400" b="1" baseline="0">
              <a:latin typeface="Mongolian Baiti" panose="03000500000000000000" pitchFamily="66" charset="0"/>
              <a:cs typeface="Mongolian Baiti" panose="03000500000000000000" pitchFamily="66" charset="0"/>
            </a:rPr>
            <a:t>RIDES</a:t>
          </a:r>
          <a:endParaRPr lang="en-US" sz="2400" b="1">
            <a:latin typeface="Mongolian Baiti" panose="03000500000000000000" pitchFamily="66" charset="0"/>
            <a:cs typeface="Mongolian Baiti" panose="03000500000000000000" pitchFamily="66" charset="0"/>
          </a:endParaRPr>
        </a:p>
        <a:p>
          <a:r>
            <a:rPr lang="en-US" sz="2400" b="1">
              <a:latin typeface="Mongolian Baiti" panose="03000500000000000000" pitchFamily="66" charset="0"/>
              <a:cs typeface="Mongolian Baiti" panose="03000500000000000000" pitchFamily="66" charset="0"/>
            </a:rPr>
            <a:t>                   </a:t>
          </a:r>
          <a:r>
            <a:rPr lang="en-US" sz="2400" b="1" baseline="0">
              <a:latin typeface="Mongolian Baiti" panose="03000500000000000000" pitchFamily="66" charset="0"/>
              <a:cs typeface="Mongolian Baiti" panose="03000500000000000000" pitchFamily="66" charset="0"/>
            </a:rPr>
            <a:t>  </a:t>
          </a:r>
          <a:r>
            <a:rPr lang="en-US" sz="2400" b="1">
              <a:latin typeface="Mongolian Baiti" panose="03000500000000000000" pitchFamily="66" charset="0"/>
              <a:cs typeface="Mongolian Baiti" panose="03000500000000000000" pitchFamily="66" charset="0"/>
            </a:rPr>
            <a:t>18042</a:t>
          </a:r>
        </a:p>
      </xdr:txBody>
    </xdr:sp>
    <xdr:clientData/>
  </xdr:twoCellAnchor>
  <xdr:twoCellAnchor>
    <xdr:from>
      <xdr:col>29</xdr:col>
      <xdr:colOff>18677</xdr:colOff>
      <xdr:row>18</xdr:row>
      <xdr:rowOff>18676</xdr:rowOff>
    </xdr:from>
    <xdr:to>
      <xdr:col>38</xdr:col>
      <xdr:colOff>180976</xdr:colOff>
      <xdr:row>35</xdr:row>
      <xdr:rowOff>168090</xdr:rowOff>
    </xdr:to>
    <xdr:graphicFrame macro="">
      <xdr:nvGraphicFramePr>
        <xdr:cNvPr id="15" name="Chart 14">
          <a:extLst>
            <a:ext uri="{FF2B5EF4-FFF2-40B4-BE49-F238E27FC236}">
              <a16:creationId xmlns:a16="http://schemas.microsoft.com/office/drawing/2014/main" xmlns="" id="{DF16C113-AA37-40AD-9FC4-8A9C546B98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130735</xdr:colOff>
      <xdr:row>10</xdr:row>
      <xdr:rowOff>4669</xdr:rowOff>
    </xdr:from>
    <xdr:to>
      <xdr:col>32</xdr:col>
      <xdr:colOff>485587</xdr:colOff>
      <xdr:row>15</xdr:row>
      <xdr:rowOff>0</xdr:rowOff>
    </xdr:to>
    <xdr:sp macro="" textlink="">
      <xdr:nvSpPr>
        <xdr:cNvPr id="16" name="TextBox 15">
          <a:extLst>
            <a:ext uri="{FF2B5EF4-FFF2-40B4-BE49-F238E27FC236}">
              <a16:creationId xmlns:a16="http://schemas.microsoft.com/office/drawing/2014/main" xmlns="" id="{39ECB5C5-7303-7C38-F62E-F02FB2822625}"/>
            </a:ext>
          </a:extLst>
        </xdr:cNvPr>
        <xdr:cNvSpPr txBox="1"/>
      </xdr:nvSpPr>
      <xdr:spPr>
        <a:xfrm>
          <a:off x="15538823" y="1872316"/>
          <a:ext cx="4669117" cy="929155"/>
        </a:xfrm>
        <a:prstGeom prst="rect">
          <a:avLst/>
        </a:prstGeom>
        <a:solidFill>
          <a:schemeClr val="tx2">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latin typeface="+mn-lt"/>
              <a:cs typeface="+mn-cs"/>
            </a:rPr>
            <a:t>A</a:t>
          </a:r>
          <a:r>
            <a:rPr lang="en-US" sz="2400" b="1">
              <a:latin typeface="Mongolian Baiti" panose="03000500000000000000" pitchFamily="66" charset="0"/>
              <a:cs typeface="Mongolian Baiti" panose="03000500000000000000" pitchFamily="66" charset="0"/>
            </a:rPr>
            <a:t>VERAGE CUSTOMER</a:t>
          </a:r>
          <a:r>
            <a:rPr lang="en-US" sz="2400" b="1" baseline="0">
              <a:latin typeface="Mongolian Baiti" panose="03000500000000000000" pitchFamily="66" charset="0"/>
              <a:cs typeface="Mongolian Baiti" panose="03000500000000000000" pitchFamily="66" charset="0"/>
            </a:rPr>
            <a:t>RATING</a:t>
          </a:r>
        </a:p>
        <a:p>
          <a:r>
            <a:rPr lang="en-US" sz="2400" b="1" baseline="0">
              <a:latin typeface="Mongolian Baiti" panose="03000500000000000000" pitchFamily="66" charset="0"/>
              <a:cs typeface="Mongolian Baiti" panose="03000500000000000000" pitchFamily="66" charset="0"/>
            </a:rPr>
            <a:t>                          4.564</a:t>
          </a:r>
          <a:endParaRPr lang="en-US" sz="2400" b="1">
            <a:latin typeface="Mongolian Baiti" panose="03000500000000000000" pitchFamily="66" charset="0"/>
            <a:cs typeface="Mongolian Baiti" panose="03000500000000000000" pitchFamily="66" charset="0"/>
          </a:endParaRPr>
        </a:p>
      </xdr:txBody>
    </xdr:sp>
    <xdr:clientData/>
  </xdr:twoCellAnchor>
  <xdr:twoCellAnchor>
    <xdr:from>
      <xdr:col>15</xdr:col>
      <xdr:colOff>69273</xdr:colOff>
      <xdr:row>42</xdr:row>
      <xdr:rowOff>37353</xdr:rowOff>
    </xdr:from>
    <xdr:to>
      <xdr:col>24</xdr:col>
      <xdr:colOff>130735</xdr:colOff>
      <xdr:row>62</xdr:row>
      <xdr:rowOff>139156</xdr:rowOff>
    </xdr:to>
    <xdr:graphicFrame macro="">
      <xdr:nvGraphicFramePr>
        <xdr:cNvPr id="17" name="Chart 16">
          <a:extLst>
            <a:ext uri="{FF2B5EF4-FFF2-40B4-BE49-F238E27FC236}">
              <a16:creationId xmlns:a16="http://schemas.microsoft.com/office/drawing/2014/main" xmlns="" id="{295DEAA1-4B16-42DB-BD37-173A68FE62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24</xdr:col>
      <xdr:colOff>314784</xdr:colOff>
      <xdr:row>42</xdr:row>
      <xdr:rowOff>18676</xdr:rowOff>
    </xdr:from>
    <xdr:to>
      <xdr:col>28</xdr:col>
      <xdr:colOff>205442</xdr:colOff>
      <xdr:row>62</xdr:row>
      <xdr:rowOff>112059</xdr:rowOff>
    </xdr:to>
    <mc:AlternateContent xmlns:mc="http://schemas.openxmlformats.org/markup-compatibility/2006" xmlns:a14="http://schemas.microsoft.com/office/drawing/2010/main">
      <mc:Choice Requires="a14">
        <xdr:graphicFrame macro="">
          <xdr:nvGraphicFramePr>
            <xdr:cNvPr id="18" name="Payment_Mode 1">
              <a:extLst>
                <a:ext uri="{FF2B5EF4-FFF2-40B4-BE49-F238E27FC236}">
                  <a16:creationId xmlns:a16="http://schemas.microsoft.com/office/drawing/2014/main" xmlns="" id="{78A4FD2C-60D2-4E58-9B1B-6BCFB4B2DE32}"/>
                </a:ext>
              </a:extLst>
            </xdr:cNvPr>
            <xdr:cNvGraphicFramePr/>
          </xdr:nvGraphicFramePr>
          <xdr:xfrm>
            <a:off x="0" y="0"/>
            <a:ext cx="0" cy="0"/>
          </xdr:xfrm>
          <a:graphic>
            <a:graphicData uri="http://schemas.microsoft.com/office/drawing/2010/slicer">
              <sle:slicer xmlns:sle="http://schemas.microsoft.com/office/drawing/2010/slicer" name="Payment_Mode 1"/>
            </a:graphicData>
          </a:graphic>
        </xdr:graphicFrame>
      </mc:Choice>
      <mc:Fallback xmlns="">
        <xdr:sp macro="" textlink="">
          <xdr:nvSpPr>
            <xdr:cNvPr id="0" name=""/>
            <xdr:cNvSpPr>
              <a:spLocks noTextEdit="1"/>
            </xdr:cNvSpPr>
          </xdr:nvSpPr>
          <xdr:spPr>
            <a:xfrm>
              <a:off x="15106549" y="7862794"/>
              <a:ext cx="2355952" cy="38286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13</xdr:col>
      <xdr:colOff>123825</xdr:colOff>
      <xdr:row>63</xdr:row>
      <xdr:rowOff>104775</xdr:rowOff>
    </xdr:from>
    <xdr:ext cx="184731" cy="264560"/>
    <xdr:sp macro="" textlink="">
      <xdr:nvSpPr>
        <xdr:cNvPr id="19" name="TextBox 18">
          <a:extLst>
            <a:ext uri="{FF2B5EF4-FFF2-40B4-BE49-F238E27FC236}">
              <a16:creationId xmlns:a16="http://schemas.microsoft.com/office/drawing/2014/main" xmlns="" id="{FD7C64C5-22AE-9113-EA25-CDE542A0D802}"/>
            </a:ext>
          </a:extLst>
        </xdr:cNvPr>
        <xdr:cNvSpPr txBox="1"/>
      </xdr:nvSpPr>
      <xdr:spPr>
        <a:xfrm>
          <a:off x="8048625" y="12106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11</xdr:col>
      <xdr:colOff>581025</xdr:colOff>
      <xdr:row>65</xdr:row>
      <xdr:rowOff>85725</xdr:rowOff>
    </xdr:from>
    <xdr:ext cx="184731" cy="264560"/>
    <xdr:sp macro="" textlink="">
      <xdr:nvSpPr>
        <xdr:cNvPr id="20" name="TextBox 19">
          <a:extLst>
            <a:ext uri="{FF2B5EF4-FFF2-40B4-BE49-F238E27FC236}">
              <a16:creationId xmlns:a16="http://schemas.microsoft.com/office/drawing/2014/main" xmlns="" id="{B4089AA1-BA8B-56EA-32B3-4E817AA04DD7}"/>
            </a:ext>
          </a:extLst>
        </xdr:cNvPr>
        <xdr:cNvSpPr txBox="1"/>
      </xdr:nvSpPr>
      <xdr:spPr>
        <a:xfrm>
          <a:off x="7286625" y="12468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33</xdr:col>
      <xdr:colOff>504265</xdr:colOff>
      <xdr:row>10</xdr:row>
      <xdr:rowOff>37353</xdr:rowOff>
    </xdr:from>
    <xdr:to>
      <xdr:col>40</xdr:col>
      <xdr:colOff>74707</xdr:colOff>
      <xdr:row>15</xdr:row>
      <xdr:rowOff>18676</xdr:rowOff>
    </xdr:to>
    <xdr:sp macro="" textlink="">
      <xdr:nvSpPr>
        <xdr:cNvPr id="21" name="TextBox 20">
          <a:extLst>
            <a:ext uri="{FF2B5EF4-FFF2-40B4-BE49-F238E27FC236}">
              <a16:creationId xmlns:a16="http://schemas.microsoft.com/office/drawing/2014/main" xmlns="" id="{2875D65F-ED73-8F5D-BEAB-372D0C05FE51}"/>
            </a:ext>
          </a:extLst>
        </xdr:cNvPr>
        <xdr:cNvSpPr txBox="1"/>
      </xdr:nvSpPr>
      <xdr:spPr>
        <a:xfrm>
          <a:off x="20842941" y="1905000"/>
          <a:ext cx="3884707" cy="915147"/>
        </a:xfrm>
        <a:prstGeom prst="rect">
          <a:avLst/>
        </a:prstGeom>
        <a:solidFill>
          <a:schemeClr val="tx2">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latin typeface="Mongolian Baiti" panose="03000500000000000000" pitchFamily="66" charset="0"/>
              <a:cs typeface="Mongolian Baiti" panose="03000500000000000000" pitchFamily="66" charset="0"/>
            </a:rPr>
            <a:t>  AVERAGE</a:t>
          </a:r>
          <a:r>
            <a:rPr lang="en-US" sz="2800" b="1" baseline="0">
              <a:latin typeface="Mongolian Baiti" panose="03000500000000000000" pitchFamily="66" charset="0"/>
              <a:cs typeface="Mongolian Baiti" panose="03000500000000000000" pitchFamily="66" charset="0"/>
            </a:rPr>
            <a:t> FARE</a:t>
          </a:r>
        </a:p>
        <a:p>
          <a:pPr algn="ctr"/>
          <a:r>
            <a:rPr lang="en-US" sz="2800" b="1">
              <a:latin typeface="Mongolian Baiti" panose="03000500000000000000" pitchFamily="66" charset="0"/>
              <a:cs typeface="Mongolian Baiti" panose="03000500000000000000" pitchFamily="66" charset="0"/>
            </a:rPr>
            <a:t>  360.84</a:t>
          </a:r>
        </a:p>
      </xdr:txBody>
    </xdr:sp>
    <xdr:clientData/>
  </xdr:twoCellAnchor>
  <xdr:twoCellAnchor>
    <xdr:from>
      <xdr:col>29</xdr:col>
      <xdr:colOff>130737</xdr:colOff>
      <xdr:row>42</xdr:row>
      <xdr:rowOff>112058</xdr:rowOff>
    </xdr:from>
    <xdr:to>
      <xdr:col>37</xdr:col>
      <xdr:colOff>168088</xdr:colOff>
      <xdr:row>63</xdr:row>
      <xdr:rowOff>130736</xdr:rowOff>
    </xdr:to>
    <xdr:graphicFrame macro="">
      <xdr:nvGraphicFramePr>
        <xdr:cNvPr id="22" name="Chart 21">
          <a:extLst>
            <a:ext uri="{FF2B5EF4-FFF2-40B4-BE49-F238E27FC236}">
              <a16:creationId xmlns:a16="http://schemas.microsoft.com/office/drawing/2014/main" xmlns="" id="{840ADDEA-579B-487E-8E04-47037E4CD3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31</xdr:col>
      <xdr:colOff>257175</xdr:colOff>
      <xdr:row>34</xdr:row>
      <xdr:rowOff>104775</xdr:rowOff>
    </xdr:from>
    <xdr:ext cx="184731" cy="264560"/>
    <xdr:sp macro="" textlink="">
      <xdr:nvSpPr>
        <xdr:cNvPr id="24" name="TextBox 23">
          <a:extLst>
            <a:ext uri="{FF2B5EF4-FFF2-40B4-BE49-F238E27FC236}">
              <a16:creationId xmlns:a16="http://schemas.microsoft.com/office/drawing/2014/main" xmlns="" id="{6F9FFBDE-5635-6FD8-A18E-7CAC32E28D1C}"/>
            </a:ext>
          </a:extLst>
        </xdr:cNvPr>
        <xdr:cNvSpPr txBox="1"/>
      </xdr:nvSpPr>
      <xdr:spPr>
        <a:xfrm>
          <a:off x="19154775" y="6581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xdr:col>
      <xdr:colOff>151024</xdr:colOff>
      <xdr:row>41</xdr:row>
      <xdr:rowOff>168089</xdr:rowOff>
    </xdr:from>
    <xdr:to>
      <xdr:col>10</xdr:col>
      <xdr:colOff>37353</xdr:colOff>
      <xdr:row>62</xdr:row>
      <xdr:rowOff>168088</xdr:rowOff>
    </xdr:to>
    <xdr:graphicFrame macro="">
      <xdr:nvGraphicFramePr>
        <xdr:cNvPr id="25" name="Chart 24">
          <a:extLst>
            <a:ext uri="{FF2B5EF4-FFF2-40B4-BE49-F238E27FC236}">
              <a16:creationId xmlns:a16="http://schemas.microsoft.com/office/drawing/2014/main" xmlns="" id="{CEC7E03D-2951-4681-B616-CDBDD214E0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114589</xdr:colOff>
      <xdr:row>42</xdr:row>
      <xdr:rowOff>18676</xdr:rowOff>
    </xdr:from>
    <xdr:to>
      <xdr:col>13</xdr:col>
      <xdr:colOff>242794</xdr:colOff>
      <xdr:row>62</xdr:row>
      <xdr:rowOff>151652</xdr:rowOff>
    </xdr:to>
    <mc:AlternateContent xmlns:mc="http://schemas.openxmlformats.org/markup-compatibility/2006" xmlns:a14="http://schemas.microsoft.com/office/drawing/2010/main">
      <mc:Choice Requires="a14">
        <xdr:graphicFrame macro="">
          <xdr:nvGraphicFramePr>
            <xdr:cNvPr id="26" name="Customer_Type 1">
              <a:extLst>
                <a:ext uri="{FF2B5EF4-FFF2-40B4-BE49-F238E27FC236}">
                  <a16:creationId xmlns:a16="http://schemas.microsoft.com/office/drawing/2014/main" xmlns="" id="{4D24B8E3-D6E7-4901-853E-AA0B86AA6BF1}"/>
                </a:ext>
              </a:extLst>
            </xdr:cNvPr>
            <xdr:cNvGraphicFramePr/>
          </xdr:nvGraphicFramePr>
          <xdr:xfrm>
            <a:off x="0" y="0"/>
            <a:ext cx="0" cy="0"/>
          </xdr:xfrm>
          <a:graphic>
            <a:graphicData uri="http://schemas.microsoft.com/office/drawing/2010/slicer">
              <sle:slicer xmlns:sle="http://schemas.microsoft.com/office/drawing/2010/slicer" name="Customer_Type 1"/>
            </a:graphicData>
          </a:graphic>
        </xdr:graphicFrame>
      </mc:Choice>
      <mc:Fallback xmlns="">
        <xdr:sp macro="" textlink="">
          <xdr:nvSpPr>
            <xdr:cNvPr id="0" name=""/>
            <xdr:cNvSpPr>
              <a:spLocks noTextEdit="1"/>
            </xdr:cNvSpPr>
          </xdr:nvSpPr>
          <xdr:spPr>
            <a:xfrm>
              <a:off x="6277824" y="7862794"/>
              <a:ext cx="1977176" cy="38682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261471</xdr:colOff>
      <xdr:row>2</xdr:row>
      <xdr:rowOff>0</xdr:rowOff>
    </xdr:from>
    <xdr:to>
      <xdr:col>17</xdr:col>
      <xdr:colOff>559547</xdr:colOff>
      <xdr:row>6</xdr:row>
      <xdr:rowOff>167341</xdr:rowOff>
    </xdr:to>
    <xdr:pic>
      <xdr:nvPicPr>
        <xdr:cNvPr id="3" name="Graphic 2" descr="Car">
          <a:extLst>
            <a:ext uri="{FF2B5EF4-FFF2-40B4-BE49-F238E27FC236}">
              <a16:creationId xmlns:a16="http://schemas.microsoft.com/office/drawing/2014/main" xmlns="" id="{E34F51F0-544E-EEC3-6E85-EDBD2E5540F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xmlns="" r:embed="rId8"/>
            </a:ext>
          </a:extLst>
        </a:blip>
        <a:stretch>
          <a:fillRect/>
        </a:stretch>
      </xdr:blipFill>
      <xdr:spPr>
        <a:xfrm>
          <a:off x="10122647" y="373529"/>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243.930275810184" createdVersion="8" refreshedVersion="8" minRefreshableVersion="3" recordCount="50">
  <cacheSource type="worksheet">
    <worksheetSource name="Table1"/>
  </cacheSource>
  <cacheFields count="14">
    <cacheField name="Ride_ID" numFmtId="0">
      <sharedItems count="50">
        <s v="UBR001"/>
        <s v="UBR002"/>
        <s v="UBR003"/>
        <s v="UBR004"/>
        <s v="UBR005"/>
        <s v="UBR006"/>
        <s v="UBR007"/>
        <s v="UBR008"/>
        <s v="UBR009"/>
        <s v="UBR010"/>
        <s v="UBR011"/>
        <s v="UBR012"/>
        <s v="UBR013"/>
        <s v="UBR014"/>
        <s v="UBR015"/>
        <s v="UBR016"/>
        <s v="UBR017"/>
        <s v="UBR018"/>
        <s v="UBR019"/>
        <s v="UBR020"/>
        <s v="UBR021"/>
        <s v="UBR022"/>
        <s v="UBR023"/>
        <s v="UBR024"/>
        <s v="UBR025"/>
        <s v="UBR026"/>
        <s v="UBR027"/>
        <s v="UBR028"/>
        <s v="UBR029"/>
        <s v="UBR030"/>
        <s v="UBR031"/>
        <s v="UBR032"/>
        <s v="UBR033"/>
        <s v="UBR034"/>
        <s v="UBR035"/>
        <s v="UBR036"/>
        <s v="UBR037"/>
        <s v="UBR038"/>
        <s v="UBR039"/>
        <s v="UBR040"/>
        <s v="UBR041"/>
        <s v="UBR042"/>
        <s v="UBR043"/>
        <s v="UBR044"/>
        <s v="UBR045"/>
        <s v="UBR046"/>
        <s v="UBR047"/>
        <s v="UBR048"/>
        <s v="UBR049"/>
        <s v="UBR050"/>
      </sharedItems>
    </cacheField>
    <cacheField name="Date" numFmtId="15">
      <sharedItems containsSemiMixedTypes="0" containsNonDate="0" containsDate="1" containsString="0" minDate="2026-08-01T00:00:00" maxDate="2026-08-10T00:00:00" count="9">
        <d v="2026-08-01T00:00:00"/>
        <d v="2026-08-02T00:00:00"/>
        <d v="2026-08-03T00:00:00"/>
        <d v="2026-08-04T00:00:00"/>
        <d v="2026-08-05T00:00:00"/>
        <d v="2026-08-06T00:00:00"/>
        <d v="2026-08-07T00:00:00"/>
        <d v="2026-08-08T00:00:00"/>
        <d v="2026-08-09T00:00:00"/>
      </sharedItems>
    </cacheField>
    <cacheField name="City" numFmtId="0">
      <sharedItems count="7">
        <s v="Bengaluru"/>
        <s v="Mumbai"/>
        <s v="Delhi"/>
        <s v="Hyderabad"/>
        <s v="Chennai"/>
        <s v="Pune"/>
        <s v="Kochi"/>
      </sharedItems>
    </cacheField>
    <cacheField name="Vehicle_Type" numFmtId="0">
      <sharedItems count="4">
        <s v="UberGo"/>
        <s v="UberXL"/>
        <s v="Premier"/>
        <s v="Auto"/>
      </sharedItems>
    </cacheField>
    <cacheField name="Trip_Type" numFmtId="0">
      <sharedItems count="2">
        <s v="City"/>
        <s v="Airport"/>
      </sharedItems>
    </cacheField>
    <cacheField name="Customer_Type" numFmtId="0">
      <sharedItems count="3">
        <s v="Regular"/>
        <s v="New"/>
        <s v="Premium"/>
      </sharedItems>
    </cacheField>
    <cacheField name="Payment_Mode" numFmtId="0">
      <sharedItems count="3">
        <s v="UPI"/>
        <s v="Card"/>
        <s v="Cash"/>
      </sharedItems>
    </cacheField>
    <cacheField name="Distance_KM" numFmtId="0">
      <sharedItems containsSemiMixedTypes="0" containsString="0" containsNumber="1" minValue="3.2" maxValue="28.7"/>
    </cacheField>
    <cacheField name="Fare_INR" numFmtId="0">
      <sharedItems containsSemiMixedTypes="0" containsString="0" containsNumber="1" containsInteger="1" minValue="80" maxValue="890"/>
    </cacheField>
    <cacheField name="Discount_INR" numFmtId="0">
      <sharedItems containsSemiMixedTypes="0" containsString="0" containsNumber="1" containsInteger="1" minValue="0" maxValue="100"/>
    </cacheField>
    <cacheField name="Driver_Rating" numFmtId="0">
      <sharedItems containsSemiMixedTypes="0" containsString="0" containsNumber="1" minValue="4.2" maxValue="4.9000000000000004"/>
    </cacheField>
    <cacheField name="Customer_Rating" numFmtId="0">
      <sharedItems containsSemiMixedTypes="0" containsString="0" containsNumber="1" minValue="4" maxValue="4.9000000000000004"/>
    </cacheField>
    <cacheField name="Trip_Duration_Min" numFmtId="0">
      <sharedItems containsSemiMixedTypes="0" containsString="0" containsNumber="1" containsInteger="1" minValue="14" maxValue="67"/>
    </cacheField>
    <cacheField name="Status" numFmtId="0">
      <sharedItems count="2">
        <s v="Completed"/>
        <s v="Cancelled"/>
      </sharedItems>
    </cacheField>
  </cacheFields>
  <extLst>
    <ext xmlns:x14="http://schemas.microsoft.com/office/spreadsheetml/2009/9/main" uri="{725AE2AE-9491-48be-B2B4-4EB974FC3084}">
      <x14:pivotCacheDefinition pivotCacheId="5887760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x v="0"/>
    <x v="0"/>
    <x v="0"/>
    <x v="0"/>
    <x v="0"/>
    <n v="8.5"/>
    <n v="245"/>
    <n v="20"/>
    <n v="4.8"/>
    <n v="4.7"/>
    <n v="28"/>
    <x v="0"/>
  </r>
  <r>
    <x v="1"/>
    <x v="0"/>
    <x v="1"/>
    <x v="0"/>
    <x v="0"/>
    <x v="1"/>
    <x v="1"/>
    <n v="12.2"/>
    <n v="385"/>
    <n v="50"/>
    <n v="4.5999999999999996"/>
    <n v="4.5"/>
    <n v="41"/>
    <x v="0"/>
  </r>
  <r>
    <x v="2"/>
    <x v="0"/>
    <x v="2"/>
    <x v="1"/>
    <x v="1"/>
    <x v="0"/>
    <x v="0"/>
    <n v="24.5"/>
    <n v="720"/>
    <n v="80"/>
    <n v="4.9000000000000004"/>
    <n v="4.8"/>
    <n v="55"/>
    <x v="0"/>
  </r>
  <r>
    <x v="3"/>
    <x v="0"/>
    <x v="3"/>
    <x v="0"/>
    <x v="0"/>
    <x v="0"/>
    <x v="2"/>
    <n v="6.8"/>
    <n v="190"/>
    <n v="0"/>
    <n v="4.5"/>
    <n v="4.5999999999999996"/>
    <n v="22"/>
    <x v="0"/>
  </r>
  <r>
    <x v="4"/>
    <x v="0"/>
    <x v="4"/>
    <x v="2"/>
    <x v="0"/>
    <x v="2"/>
    <x v="1"/>
    <n v="10.4"/>
    <n v="410"/>
    <n v="30"/>
    <n v="4.9000000000000004"/>
    <n v="4.9000000000000004"/>
    <n v="35"/>
    <x v="0"/>
  </r>
  <r>
    <x v="5"/>
    <x v="1"/>
    <x v="5"/>
    <x v="0"/>
    <x v="0"/>
    <x v="1"/>
    <x v="0"/>
    <n v="7.2"/>
    <n v="215"/>
    <n v="25"/>
    <n v="4.7"/>
    <n v="4.4000000000000004"/>
    <n v="25"/>
    <x v="0"/>
  </r>
  <r>
    <x v="6"/>
    <x v="1"/>
    <x v="0"/>
    <x v="3"/>
    <x v="0"/>
    <x v="0"/>
    <x v="0"/>
    <n v="4.5"/>
    <n v="105"/>
    <n v="10"/>
    <n v="4.5999999999999996"/>
    <n v="4.5"/>
    <n v="18"/>
    <x v="0"/>
  </r>
  <r>
    <x v="7"/>
    <x v="1"/>
    <x v="1"/>
    <x v="1"/>
    <x v="1"/>
    <x v="2"/>
    <x v="1"/>
    <n v="28.7"/>
    <n v="890"/>
    <n v="100"/>
    <n v="4.8"/>
    <n v="4.9000000000000004"/>
    <n v="67"/>
    <x v="0"/>
  </r>
  <r>
    <x v="8"/>
    <x v="1"/>
    <x v="2"/>
    <x v="0"/>
    <x v="0"/>
    <x v="0"/>
    <x v="2"/>
    <n v="9.8000000000000007"/>
    <n v="290"/>
    <n v="0"/>
    <n v="4.4000000000000004"/>
    <n v="4.2"/>
    <n v="31"/>
    <x v="0"/>
  </r>
  <r>
    <x v="9"/>
    <x v="1"/>
    <x v="6"/>
    <x v="0"/>
    <x v="1"/>
    <x v="1"/>
    <x v="0"/>
    <n v="18.5"/>
    <n v="540"/>
    <n v="60"/>
    <n v="4.7"/>
    <n v="4.5999999999999996"/>
    <n v="44"/>
    <x v="0"/>
  </r>
  <r>
    <x v="10"/>
    <x v="2"/>
    <x v="0"/>
    <x v="2"/>
    <x v="0"/>
    <x v="2"/>
    <x v="1"/>
    <n v="14.2"/>
    <n v="560"/>
    <n v="40"/>
    <n v="4.9000000000000004"/>
    <n v="4.8"/>
    <n v="43"/>
    <x v="0"/>
  </r>
  <r>
    <x v="11"/>
    <x v="2"/>
    <x v="1"/>
    <x v="0"/>
    <x v="0"/>
    <x v="0"/>
    <x v="0"/>
    <n v="5.7"/>
    <n v="175"/>
    <n v="15"/>
    <n v="4.5999999999999996"/>
    <n v="4.7"/>
    <n v="20"/>
    <x v="0"/>
  </r>
  <r>
    <x v="12"/>
    <x v="2"/>
    <x v="2"/>
    <x v="3"/>
    <x v="0"/>
    <x v="1"/>
    <x v="2"/>
    <n v="3.8"/>
    <n v="90"/>
    <n v="0"/>
    <n v="4.3"/>
    <n v="4.0999999999999996"/>
    <n v="16"/>
    <x v="0"/>
  </r>
  <r>
    <x v="13"/>
    <x v="2"/>
    <x v="3"/>
    <x v="1"/>
    <x v="1"/>
    <x v="0"/>
    <x v="1"/>
    <n v="22.4"/>
    <n v="680"/>
    <n v="70"/>
    <n v="4.8"/>
    <n v="4.7"/>
    <n v="52"/>
    <x v="0"/>
  </r>
  <r>
    <x v="14"/>
    <x v="2"/>
    <x v="4"/>
    <x v="0"/>
    <x v="0"/>
    <x v="0"/>
    <x v="0"/>
    <n v="8.9"/>
    <n v="260"/>
    <n v="20"/>
    <n v="4.7"/>
    <n v="4.5999999999999996"/>
    <n v="29"/>
    <x v="0"/>
  </r>
  <r>
    <x v="15"/>
    <x v="2"/>
    <x v="5"/>
    <x v="2"/>
    <x v="0"/>
    <x v="2"/>
    <x v="1"/>
    <n v="11.5"/>
    <n v="450"/>
    <n v="35"/>
    <n v="4.9000000000000004"/>
    <n v="4.9000000000000004"/>
    <n v="37"/>
    <x v="0"/>
  </r>
  <r>
    <x v="16"/>
    <x v="3"/>
    <x v="0"/>
    <x v="0"/>
    <x v="0"/>
    <x v="1"/>
    <x v="0"/>
    <n v="6.4"/>
    <n v="185"/>
    <n v="20"/>
    <n v="4.5"/>
    <n v="4.3"/>
    <n v="23"/>
    <x v="1"/>
  </r>
  <r>
    <x v="17"/>
    <x v="3"/>
    <x v="1"/>
    <x v="0"/>
    <x v="0"/>
    <x v="0"/>
    <x v="2"/>
    <n v="10.6"/>
    <n v="320"/>
    <n v="0"/>
    <n v="4.7"/>
    <n v="4.5"/>
    <n v="34"/>
    <x v="0"/>
  </r>
  <r>
    <x v="18"/>
    <x v="3"/>
    <x v="2"/>
    <x v="2"/>
    <x v="1"/>
    <x v="2"/>
    <x v="1"/>
    <n v="26.3"/>
    <n v="840"/>
    <n v="90"/>
    <n v="4.9000000000000004"/>
    <n v="4.8"/>
    <n v="61"/>
    <x v="0"/>
  </r>
  <r>
    <x v="19"/>
    <x v="3"/>
    <x v="6"/>
    <x v="3"/>
    <x v="0"/>
    <x v="0"/>
    <x v="0"/>
    <n v="5.0999999999999996"/>
    <n v="115"/>
    <n v="10"/>
    <n v="4.5"/>
    <n v="4.4000000000000004"/>
    <n v="19"/>
    <x v="0"/>
  </r>
  <r>
    <x v="20"/>
    <x v="3"/>
    <x v="3"/>
    <x v="0"/>
    <x v="0"/>
    <x v="0"/>
    <x v="0"/>
    <n v="9.3000000000000007"/>
    <n v="275"/>
    <n v="25"/>
    <n v="4.5999999999999996"/>
    <n v="4.7"/>
    <n v="30"/>
    <x v="0"/>
  </r>
  <r>
    <x v="21"/>
    <x v="3"/>
    <x v="4"/>
    <x v="1"/>
    <x v="1"/>
    <x v="1"/>
    <x v="1"/>
    <n v="21.8"/>
    <n v="650"/>
    <n v="75"/>
    <n v="4.7"/>
    <n v="4.5"/>
    <n v="50"/>
    <x v="0"/>
  </r>
  <r>
    <x v="22"/>
    <x v="4"/>
    <x v="5"/>
    <x v="0"/>
    <x v="0"/>
    <x v="0"/>
    <x v="2"/>
    <n v="7.6"/>
    <n v="225"/>
    <n v="0"/>
    <n v="4.4000000000000004"/>
    <n v="4.3"/>
    <n v="26"/>
    <x v="0"/>
  </r>
  <r>
    <x v="23"/>
    <x v="4"/>
    <x v="0"/>
    <x v="3"/>
    <x v="0"/>
    <x v="1"/>
    <x v="0"/>
    <n v="3.2"/>
    <n v="80"/>
    <n v="5"/>
    <n v="4.5"/>
    <n v="4.2"/>
    <n v="14"/>
    <x v="0"/>
  </r>
  <r>
    <x v="24"/>
    <x v="4"/>
    <x v="1"/>
    <x v="2"/>
    <x v="0"/>
    <x v="2"/>
    <x v="1"/>
    <n v="13.7"/>
    <n v="525"/>
    <n v="45"/>
    <n v="4.9000000000000004"/>
    <n v="4.9000000000000004"/>
    <n v="42"/>
    <x v="0"/>
  </r>
  <r>
    <x v="25"/>
    <x v="4"/>
    <x v="2"/>
    <x v="0"/>
    <x v="0"/>
    <x v="0"/>
    <x v="0"/>
    <n v="11.4"/>
    <n v="335"/>
    <n v="30"/>
    <n v="4.8"/>
    <n v="4.7"/>
    <n v="36"/>
    <x v="0"/>
  </r>
  <r>
    <x v="26"/>
    <x v="4"/>
    <x v="3"/>
    <x v="0"/>
    <x v="0"/>
    <x v="1"/>
    <x v="2"/>
    <n v="5.9"/>
    <n v="165"/>
    <n v="0"/>
    <n v="4.3"/>
    <n v="4.0999999999999996"/>
    <n v="21"/>
    <x v="1"/>
  </r>
  <r>
    <x v="27"/>
    <x v="4"/>
    <x v="4"/>
    <x v="0"/>
    <x v="0"/>
    <x v="0"/>
    <x v="0"/>
    <n v="8.1999999999999993"/>
    <n v="240"/>
    <n v="20"/>
    <n v="4.5999999999999996"/>
    <n v="4.5"/>
    <n v="27"/>
    <x v="0"/>
  </r>
  <r>
    <x v="28"/>
    <x v="5"/>
    <x v="6"/>
    <x v="2"/>
    <x v="1"/>
    <x v="2"/>
    <x v="1"/>
    <n v="19.600000000000001"/>
    <n v="610"/>
    <n v="60"/>
    <n v="4.8"/>
    <n v="4.8"/>
    <n v="47"/>
    <x v="0"/>
  </r>
  <r>
    <x v="29"/>
    <x v="5"/>
    <x v="5"/>
    <x v="3"/>
    <x v="0"/>
    <x v="0"/>
    <x v="0"/>
    <n v="4.2"/>
    <n v="95"/>
    <n v="5"/>
    <n v="4.5"/>
    <n v="4.4000000000000004"/>
    <n v="17"/>
    <x v="0"/>
  </r>
  <r>
    <x v="30"/>
    <x v="5"/>
    <x v="0"/>
    <x v="1"/>
    <x v="1"/>
    <x v="0"/>
    <x v="1"/>
    <n v="25.8"/>
    <n v="795"/>
    <n v="85"/>
    <n v="4.9000000000000004"/>
    <n v="4.8"/>
    <n v="59"/>
    <x v="0"/>
  </r>
  <r>
    <x v="31"/>
    <x v="5"/>
    <x v="1"/>
    <x v="0"/>
    <x v="0"/>
    <x v="1"/>
    <x v="0"/>
    <n v="9.1"/>
    <n v="270"/>
    <n v="30"/>
    <n v="4.5999999999999996"/>
    <n v="4.5"/>
    <n v="30"/>
    <x v="0"/>
  </r>
  <r>
    <x v="32"/>
    <x v="5"/>
    <x v="2"/>
    <x v="0"/>
    <x v="0"/>
    <x v="0"/>
    <x v="2"/>
    <n v="6.7"/>
    <n v="195"/>
    <n v="0"/>
    <n v="4.4000000000000004"/>
    <n v="4.3"/>
    <n v="23"/>
    <x v="0"/>
  </r>
  <r>
    <x v="33"/>
    <x v="6"/>
    <x v="3"/>
    <x v="2"/>
    <x v="0"/>
    <x v="2"/>
    <x v="1"/>
    <n v="12.8"/>
    <n v="490"/>
    <n v="40"/>
    <n v="4.9000000000000004"/>
    <n v="4.9000000000000004"/>
    <n v="39"/>
    <x v="0"/>
  </r>
  <r>
    <x v="34"/>
    <x v="6"/>
    <x v="4"/>
    <x v="0"/>
    <x v="0"/>
    <x v="0"/>
    <x v="0"/>
    <n v="7.5"/>
    <n v="220"/>
    <n v="15"/>
    <n v="4.7"/>
    <n v="4.5999999999999996"/>
    <n v="25"/>
    <x v="0"/>
  </r>
  <r>
    <x v="35"/>
    <x v="6"/>
    <x v="5"/>
    <x v="1"/>
    <x v="1"/>
    <x v="0"/>
    <x v="1"/>
    <n v="23.6"/>
    <n v="705"/>
    <n v="70"/>
    <n v="4.8"/>
    <n v="4.7"/>
    <n v="54"/>
    <x v="0"/>
  </r>
  <r>
    <x v="36"/>
    <x v="6"/>
    <x v="0"/>
    <x v="0"/>
    <x v="0"/>
    <x v="1"/>
    <x v="0"/>
    <n v="5.3"/>
    <n v="155"/>
    <n v="20"/>
    <n v="4.5"/>
    <n v="4.4000000000000004"/>
    <n v="19"/>
    <x v="0"/>
  </r>
  <r>
    <x v="37"/>
    <x v="6"/>
    <x v="1"/>
    <x v="3"/>
    <x v="0"/>
    <x v="0"/>
    <x v="2"/>
    <n v="4.7"/>
    <n v="110"/>
    <n v="0"/>
    <n v="4.4000000000000004"/>
    <n v="4.2"/>
    <n v="18"/>
    <x v="1"/>
  </r>
  <r>
    <x v="38"/>
    <x v="6"/>
    <x v="2"/>
    <x v="0"/>
    <x v="0"/>
    <x v="2"/>
    <x v="1"/>
    <n v="10.9"/>
    <n v="330"/>
    <n v="25"/>
    <n v="4.8"/>
    <n v="4.7"/>
    <n v="35"/>
    <x v="0"/>
  </r>
  <r>
    <x v="39"/>
    <x v="6"/>
    <x v="6"/>
    <x v="0"/>
    <x v="1"/>
    <x v="0"/>
    <x v="0"/>
    <n v="16.8"/>
    <n v="495"/>
    <n v="50"/>
    <n v="4.7"/>
    <n v="4.5999999999999996"/>
    <n v="40"/>
    <x v="0"/>
  </r>
  <r>
    <x v="40"/>
    <x v="7"/>
    <x v="3"/>
    <x v="3"/>
    <x v="0"/>
    <x v="1"/>
    <x v="0"/>
    <n v="3.9"/>
    <n v="92"/>
    <n v="5"/>
    <n v="4.5"/>
    <n v="4.3"/>
    <n v="15"/>
    <x v="0"/>
  </r>
  <r>
    <x v="41"/>
    <x v="7"/>
    <x v="4"/>
    <x v="2"/>
    <x v="0"/>
    <x v="2"/>
    <x v="1"/>
    <n v="15.2"/>
    <n v="575"/>
    <n v="50"/>
    <n v="4.9000000000000004"/>
    <n v="4.8"/>
    <n v="45"/>
    <x v="0"/>
  </r>
  <r>
    <x v="42"/>
    <x v="7"/>
    <x v="5"/>
    <x v="0"/>
    <x v="0"/>
    <x v="0"/>
    <x v="2"/>
    <n v="8.8000000000000007"/>
    <n v="255"/>
    <n v="0"/>
    <n v="4.5999999999999996"/>
    <n v="4.5"/>
    <n v="28"/>
    <x v="0"/>
  </r>
  <r>
    <x v="43"/>
    <x v="7"/>
    <x v="0"/>
    <x v="0"/>
    <x v="0"/>
    <x v="0"/>
    <x v="0"/>
    <n v="10.1"/>
    <n v="300"/>
    <n v="25"/>
    <n v="4.8"/>
    <n v="4.7"/>
    <n v="33"/>
    <x v="0"/>
  </r>
  <r>
    <x v="44"/>
    <x v="7"/>
    <x v="1"/>
    <x v="1"/>
    <x v="1"/>
    <x v="2"/>
    <x v="1"/>
    <n v="27.4"/>
    <n v="850"/>
    <n v="100"/>
    <n v="4.9000000000000004"/>
    <n v="4.9000000000000004"/>
    <n v="64"/>
    <x v="0"/>
  </r>
  <r>
    <x v="45"/>
    <x v="7"/>
    <x v="2"/>
    <x v="3"/>
    <x v="0"/>
    <x v="1"/>
    <x v="2"/>
    <n v="4.0999999999999996"/>
    <n v="95"/>
    <n v="0"/>
    <n v="4.2"/>
    <n v="4"/>
    <n v="17"/>
    <x v="0"/>
  </r>
  <r>
    <x v="46"/>
    <x v="8"/>
    <x v="3"/>
    <x v="0"/>
    <x v="0"/>
    <x v="0"/>
    <x v="0"/>
    <n v="7.9"/>
    <n v="230"/>
    <n v="20"/>
    <n v="4.7"/>
    <n v="4.5999999999999996"/>
    <n v="26"/>
    <x v="0"/>
  </r>
  <r>
    <x v="47"/>
    <x v="8"/>
    <x v="4"/>
    <x v="1"/>
    <x v="1"/>
    <x v="0"/>
    <x v="1"/>
    <n v="20.5"/>
    <n v="625"/>
    <n v="65"/>
    <n v="4.8"/>
    <n v="4.7"/>
    <n v="49"/>
    <x v="0"/>
  </r>
  <r>
    <x v="48"/>
    <x v="8"/>
    <x v="6"/>
    <x v="3"/>
    <x v="0"/>
    <x v="1"/>
    <x v="0"/>
    <n v="4.8"/>
    <n v="105"/>
    <n v="10"/>
    <n v="4.5999999999999996"/>
    <n v="4.4000000000000004"/>
    <n v="18"/>
    <x v="0"/>
  </r>
  <r>
    <x v="49"/>
    <x v="8"/>
    <x v="5"/>
    <x v="0"/>
    <x v="0"/>
    <x v="0"/>
    <x v="0"/>
    <n v="9.6"/>
    <n v="285"/>
    <n v="25"/>
    <n v="4.7"/>
    <n v="4.5999999999999996"/>
    <n v="3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8:F16" firstHeaderRow="1" firstDataRow="1" firstDataCol="1"/>
  <pivotFields count="14">
    <pivotField showAll="0"/>
    <pivotField numFmtId="15" showAll="0"/>
    <pivotField axis="axisRow" showAll="0">
      <items count="8">
        <item x="0"/>
        <item x="4"/>
        <item x="2"/>
        <item x="3"/>
        <item x="6"/>
        <item x="1"/>
        <item x="5"/>
        <item t="default"/>
      </items>
    </pivotField>
    <pivotField showAll="0"/>
    <pivotField showAll="0"/>
    <pivotField showAll="0"/>
    <pivotField showAll="0"/>
    <pivotField showAll="0"/>
    <pivotField dataField="1" showAll="0"/>
    <pivotField showAll="0"/>
    <pivotField showAll="0"/>
    <pivotField showAll="0"/>
    <pivotField showAll="0"/>
    <pivotField showAll="0"/>
  </pivotFields>
  <rowFields count="1">
    <field x="2"/>
  </rowFields>
  <rowItems count="8">
    <i>
      <x/>
    </i>
    <i>
      <x v="1"/>
    </i>
    <i>
      <x v="2"/>
    </i>
    <i>
      <x v="3"/>
    </i>
    <i>
      <x v="4"/>
    </i>
    <i>
      <x v="5"/>
    </i>
    <i>
      <x v="6"/>
    </i>
    <i t="grand">
      <x/>
    </i>
  </rowItems>
  <colItems count="1">
    <i/>
  </colItems>
  <dataFields count="1">
    <dataField name="Sum of Fare_INR" fld="8"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5"/>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30:K33" firstHeaderRow="1" firstDataRow="1" firstDataCol="1"/>
  <pivotFields count="14">
    <pivotField showAll="0"/>
    <pivotField numFmtId="15" showAll="0"/>
    <pivotField showAll="0"/>
    <pivotField showAll="0"/>
    <pivotField axis="axisRow" showAll="0">
      <items count="3">
        <item x="1"/>
        <item x="0"/>
        <item t="default"/>
      </items>
    </pivotField>
    <pivotField showAll="0"/>
    <pivotField showAll="0"/>
    <pivotField showAll="0"/>
    <pivotField dataField="1" showAll="0"/>
    <pivotField showAll="0"/>
    <pivotField showAll="0"/>
    <pivotField showAll="0"/>
    <pivotField showAll="0"/>
    <pivotField showAll="0"/>
  </pivotFields>
  <rowFields count="1">
    <field x="4"/>
  </rowFields>
  <rowItems count="3">
    <i>
      <x/>
    </i>
    <i>
      <x v="1"/>
    </i>
    <i t="grand">
      <x/>
    </i>
  </rowItems>
  <colItems count="1">
    <i/>
  </colItems>
  <dataFields count="1">
    <dataField name="Sum of Fare_INR" fld="8"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4" count="1" selected="0">
            <x v="0"/>
          </reference>
        </references>
      </pivotArea>
    </chartFormat>
    <chartFormat chart="10"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Q16:R26" firstHeaderRow="1" firstDataRow="1" firstDataCol="1"/>
  <pivotFields count="14">
    <pivotField showAll="0"/>
    <pivotField axis="axisRow" numFmtId="15" showAll="0">
      <items count="10">
        <item x="0"/>
        <item x="1"/>
        <item x="2"/>
        <item x="3"/>
        <item x="4"/>
        <item x="5"/>
        <item x="6"/>
        <item x="7"/>
        <item x="8"/>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1"/>
  </rowFields>
  <rowItems count="10">
    <i>
      <x/>
    </i>
    <i>
      <x v="1"/>
    </i>
    <i>
      <x v="2"/>
    </i>
    <i>
      <x v="3"/>
    </i>
    <i>
      <x v="4"/>
    </i>
    <i>
      <x v="5"/>
    </i>
    <i>
      <x v="6"/>
    </i>
    <i>
      <x v="7"/>
    </i>
    <i>
      <x v="8"/>
    </i>
    <i t="grand">
      <x/>
    </i>
  </rowItems>
  <colItems count="1">
    <i/>
  </colItems>
  <dataFields count="1">
    <dataField name="Sum of Fare_INR"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I1:J6" firstHeaderRow="1" firstDataRow="1" firstDataCol="1"/>
  <pivotFields count="14">
    <pivotField dataField="1"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umFmtId="15" showAll="0"/>
    <pivotField showAll="0"/>
    <pivotField axis="axisRow" showAll="0">
      <items count="5">
        <item x="3"/>
        <item x="2"/>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3"/>
  </rowFields>
  <rowItems count="5">
    <i>
      <x/>
    </i>
    <i>
      <x v="1"/>
    </i>
    <i>
      <x v="2"/>
    </i>
    <i>
      <x v="3"/>
    </i>
    <i t="grand">
      <x/>
    </i>
  </rowItems>
  <colItems count="1">
    <i/>
  </colItems>
  <dataFields count="1">
    <dataField name="Count of Ride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U33:V35" firstHeaderRow="1" firstDataRow="1" firstDataCol="1"/>
  <pivotFields count="14">
    <pivotField showAll="0"/>
    <pivotField numFmtId="15" showAll="0"/>
    <pivotField showAll="0"/>
    <pivotField axis="axisRow" showAll="0">
      <items count="5">
        <item h="1" x="3"/>
        <item h="1" x="2"/>
        <item h="1" x="0"/>
        <item x="1"/>
        <item t="default"/>
      </items>
    </pivotField>
    <pivotField showAll="0"/>
    <pivotField showAll="0"/>
    <pivotField showAll="0"/>
    <pivotField showAll="0"/>
    <pivotField showAll="0"/>
    <pivotField showAll="0"/>
    <pivotField showAll="0"/>
    <pivotField dataField="1" showAll="0"/>
    <pivotField showAll="0"/>
    <pivotField showAll="0"/>
  </pivotFields>
  <rowFields count="1">
    <field x="3"/>
  </rowFields>
  <rowItems count="2">
    <i>
      <x v="3"/>
    </i>
    <i t="grand">
      <x/>
    </i>
  </rowItems>
  <colItems count="1">
    <i/>
  </colItems>
  <dataFields count="1">
    <dataField name="Sum of Customer_Rating" fld="11" baseField="0" baseItem="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C9:AD12" firstHeaderRow="1" firstDataRow="1" firstDataCol="1"/>
  <pivotFields count="14">
    <pivotField dataField="1"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umFmtId="15"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s>
  <rowFields count="1">
    <field x="13"/>
  </rowFields>
  <rowItems count="3">
    <i>
      <x/>
    </i>
    <i>
      <x v="1"/>
    </i>
    <i t="grand">
      <x/>
    </i>
  </rowItems>
  <colItems count="1">
    <i/>
  </colItems>
  <dataFields count="1">
    <dataField name="Count of Ride_ID" fld="0"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30:E34" firstHeaderRow="1" firstDataRow="1" firstDataCol="1"/>
  <pivotFields count="14">
    <pivotField dataField="1" showAll="0"/>
    <pivotField numFmtId="15"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s>
  <rowFields count="1">
    <field x="6"/>
  </rowFields>
  <rowItems count="4">
    <i>
      <x/>
    </i>
    <i>
      <x v="1"/>
    </i>
    <i>
      <x v="2"/>
    </i>
    <i t="grand">
      <x/>
    </i>
  </rowItems>
  <colItems count="1">
    <i/>
  </colItems>
  <dataFields count="1">
    <dataField name="Count of Ride_ID"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6" count="1" selected="0">
            <x v="0"/>
          </reference>
        </references>
      </pivotArea>
    </chartFormat>
    <chartFormat chart="11" format="10">
      <pivotArea type="data" outline="0" fieldPosition="0">
        <references count="2">
          <reference field="4294967294" count="1" selected="0">
            <x v="0"/>
          </reference>
          <reference field="6" count="1" selected="0">
            <x v="1"/>
          </reference>
        </references>
      </pivotArea>
    </chartFormat>
    <chartFormat chart="11"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O33:P37" firstHeaderRow="1" firstDataRow="1" firstDataCol="1"/>
  <pivotFields count="14">
    <pivotField dataField="1"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umFmtId="15"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Count of Ride_ID"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2" name="PivotTable1"/>
  </pivotTables>
  <data>
    <tabular pivotCacheId="588776028">
      <items count="7">
        <i x="0" s="1"/>
        <i x="4" s="1"/>
        <i x="2" s="1"/>
        <i x="3" s="1"/>
        <i x="6" s="1"/>
        <i x="1"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ayment_Mode" sourceName="Payment_Mode">
  <pivotTables>
    <pivotTable tabId="2" name="PivotTable4"/>
  </pivotTables>
  <data>
    <tabular pivotCacheId="588776028">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ustomer_Type" sourceName="Customer_Type">
  <pivotTables>
    <pivotTable tabId="2" name="PivotTable6"/>
  </pivotTables>
  <data>
    <tabular pivotCacheId="588776028">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tatus" sourceName="Status">
  <pivotTables>
    <pivotTable tabId="2" name="PivotTable8"/>
  </pivotTables>
  <data>
    <tabular pivotCacheId="588776028">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Vehicle_Type" sourceName="Vehicle_Type">
  <pivotTables>
    <pivotTable tabId="2" name="PivotTable7"/>
  </pivotTables>
  <data>
    <tabular pivotCacheId="588776028">
      <items count="4">
        <i x="3"/>
        <i x="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ity" cache="Slicer_City" caption="City" style="SlicerStyleLight6" rowHeight="257175"/>
  <slicer name="Payment_Mode" cache="Slicer_Payment_Mode" caption="Payment_Mode" style="SlicerStyleOther2" rowHeight="257175"/>
  <slicer name="Customer_Type" cache="Slicer_Customer_Type" caption="Customer_Type" style="SlicerStyleLight3" rowHeight="257175"/>
  <slicer name="Status" cache="Slicer_Status" caption="Status" style="SlicerStyleOther1" rowHeight="257175"/>
  <slicer name="Vehicle_Type" cache="Slicer_Vehicle_Type" caption="Vehicle_Type" style="SlicerStyleLight5" rowHeight="257175"/>
</slicers>
</file>

<file path=xl/slicers/slicer2.xml><?xml version="1.0" encoding="utf-8"?>
<slicers xmlns="http://schemas.microsoft.com/office/spreadsheetml/2009/9/main" xmlns:mc="http://schemas.openxmlformats.org/markup-compatibility/2006" xmlns:x="http://schemas.openxmlformats.org/spreadsheetml/2006/main" mc:Ignorable="x">
  <slicer name="City 1" cache="Slicer_City" caption="City" rowHeight="257175"/>
  <slicer name="Payment_Mode 1" cache="Slicer_Payment_Mode" caption="Payment_Mode" rowHeight="257175"/>
  <slicer name="Customer_Type 1" cache="Slicer_Customer_Type" caption="Customer_Type" rowHeight="257175"/>
</slicers>
</file>

<file path=xl/tables/table1.xml><?xml version="1.0" encoding="utf-8"?>
<table xmlns="http://schemas.openxmlformats.org/spreadsheetml/2006/main" id="1" name="Table1" displayName="Table1" ref="A1:N51" totalsRowShown="0" headerRowDxfId="17" dataDxfId="16">
  <autoFilter ref="A1:N51"/>
  <tableColumns count="14">
    <tableColumn id="1" name="Ride_ID" dataDxfId="15"/>
    <tableColumn id="2" name="Date" dataDxfId="14"/>
    <tableColumn id="3" name="City" dataDxfId="13"/>
    <tableColumn id="4" name="Vehicle_Type" dataDxfId="12"/>
    <tableColumn id="5" name="Trip_Type" dataDxfId="11"/>
    <tableColumn id="6" name="Customer_Type" dataDxfId="10"/>
    <tableColumn id="7" name="Payment_Mode" dataDxfId="9"/>
    <tableColumn id="8" name="Distance_KM" dataDxfId="8"/>
    <tableColumn id="9" name="Fare_INR" dataDxfId="7"/>
    <tableColumn id="10" name="Discount_INR" dataDxfId="6"/>
    <tableColumn id="11" name="Driver_Rating" dataDxfId="5"/>
    <tableColumn id="12" name="Customer_Rating" dataDxfId="4"/>
    <tableColumn id="13" name="Trip_Duration_Min" dataDxfId="3"/>
    <tableColumn id="14" name="Status" dataDxfId="2"/>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C1:C6" totalsRowShown="0" tableBorderDxfId="1">
  <autoFilter ref="C1:C6"/>
  <tableColumns count="1">
    <tableColumn id="1" name="answer" dataDxfId="0">
      <calculatedColumnFormula>COUNTA(Table1[Ride_ID])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table" Target="../tables/table2.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1"/>
  <sheetViews>
    <sheetView topLeftCell="C2" workbookViewId="0">
      <selection sqref="A1:N51"/>
    </sheetView>
  </sheetViews>
  <sheetFormatPr defaultRowHeight="13.8"/>
  <cols>
    <col min="1" max="1" width="9.296875" customWidth="1"/>
    <col min="4" max="4" width="13.8984375" customWidth="1"/>
    <col min="5" max="5" width="10.69921875" customWidth="1"/>
    <col min="6" max="6" width="15.69921875" customWidth="1"/>
    <col min="7" max="7" width="15.59765625" customWidth="1"/>
    <col min="8" max="8" width="13.59765625" customWidth="1"/>
    <col min="9" max="9" width="10.296875" customWidth="1"/>
    <col min="10" max="10" width="14.09765625" customWidth="1"/>
    <col min="11" max="11" width="14" customWidth="1"/>
    <col min="12" max="12" width="17.09765625" customWidth="1"/>
    <col min="13" max="13" width="18" customWidth="1"/>
  </cols>
  <sheetData>
    <row r="1" spans="1:14" ht="15">
      <c r="A1" s="1" t="s">
        <v>0</v>
      </c>
      <c r="B1" s="1" t="s">
        <v>1</v>
      </c>
      <c r="C1" s="1" t="s">
        <v>2</v>
      </c>
      <c r="D1" s="1" t="s">
        <v>3</v>
      </c>
      <c r="E1" s="1" t="s">
        <v>4</v>
      </c>
      <c r="F1" s="1" t="s">
        <v>5</v>
      </c>
      <c r="G1" s="1" t="s">
        <v>6</v>
      </c>
      <c r="H1" s="3" t="s">
        <v>7</v>
      </c>
      <c r="I1" s="3" t="s">
        <v>8</v>
      </c>
      <c r="J1" s="3" t="s">
        <v>9</v>
      </c>
      <c r="K1" s="3" t="s">
        <v>10</v>
      </c>
      <c r="L1" s="3" t="s">
        <v>11</v>
      </c>
      <c r="M1" s="3" t="s">
        <v>12</v>
      </c>
      <c r="N1" s="1" t="s">
        <v>13</v>
      </c>
    </row>
    <row r="2" spans="1:14" ht="30">
      <c r="A2" s="4" t="s">
        <v>14</v>
      </c>
      <c r="B2" s="5">
        <v>46235</v>
      </c>
      <c r="C2" s="4" t="s">
        <v>15</v>
      </c>
      <c r="D2" s="4" t="s">
        <v>16</v>
      </c>
      <c r="E2" s="4" t="s">
        <v>2</v>
      </c>
      <c r="F2" s="4" t="s">
        <v>17</v>
      </c>
      <c r="G2" s="4" t="s">
        <v>18</v>
      </c>
      <c r="H2" s="2">
        <v>8.5</v>
      </c>
      <c r="I2" s="2">
        <v>245</v>
      </c>
      <c r="J2" s="2">
        <v>20</v>
      </c>
      <c r="K2" s="2">
        <v>4.8</v>
      </c>
      <c r="L2" s="2">
        <v>4.7</v>
      </c>
      <c r="M2" s="2">
        <v>28</v>
      </c>
      <c r="N2" s="4" t="s">
        <v>19</v>
      </c>
    </row>
    <row r="3" spans="1:14" ht="30">
      <c r="A3" s="4" t="s">
        <v>20</v>
      </c>
      <c r="B3" s="5">
        <v>46235</v>
      </c>
      <c r="C3" s="4" t="s">
        <v>21</v>
      </c>
      <c r="D3" s="4" t="s">
        <v>16</v>
      </c>
      <c r="E3" s="4" t="s">
        <v>2</v>
      </c>
      <c r="F3" s="4" t="s">
        <v>22</v>
      </c>
      <c r="G3" s="4" t="s">
        <v>23</v>
      </c>
      <c r="H3" s="2">
        <v>12.2</v>
      </c>
      <c r="I3" s="2">
        <v>385</v>
      </c>
      <c r="J3" s="2">
        <v>50</v>
      </c>
      <c r="K3" s="2">
        <v>4.5999999999999996</v>
      </c>
      <c r="L3" s="2">
        <v>4.5</v>
      </c>
      <c r="M3" s="2">
        <v>41</v>
      </c>
      <c r="N3" s="4" t="s">
        <v>19</v>
      </c>
    </row>
    <row r="4" spans="1:14" ht="30">
      <c r="A4" s="4" t="s">
        <v>24</v>
      </c>
      <c r="B4" s="5">
        <v>46235</v>
      </c>
      <c r="C4" s="4" t="s">
        <v>25</v>
      </c>
      <c r="D4" s="4" t="s">
        <v>26</v>
      </c>
      <c r="E4" s="4" t="s">
        <v>27</v>
      </c>
      <c r="F4" s="4" t="s">
        <v>17</v>
      </c>
      <c r="G4" s="4" t="s">
        <v>18</v>
      </c>
      <c r="H4" s="2">
        <v>24.5</v>
      </c>
      <c r="I4" s="2">
        <v>720</v>
      </c>
      <c r="J4" s="2">
        <v>80</v>
      </c>
      <c r="K4" s="2">
        <v>4.9000000000000004</v>
      </c>
      <c r="L4" s="2">
        <v>4.8</v>
      </c>
      <c r="M4" s="2">
        <v>55</v>
      </c>
      <c r="N4" s="4" t="s">
        <v>19</v>
      </c>
    </row>
    <row r="5" spans="1:14" ht="30">
      <c r="A5" s="4" t="s">
        <v>28</v>
      </c>
      <c r="B5" s="5">
        <v>46235</v>
      </c>
      <c r="C5" s="4" t="s">
        <v>29</v>
      </c>
      <c r="D5" s="4" t="s">
        <v>16</v>
      </c>
      <c r="E5" s="4" t="s">
        <v>2</v>
      </c>
      <c r="F5" s="4" t="s">
        <v>17</v>
      </c>
      <c r="G5" s="4" t="s">
        <v>30</v>
      </c>
      <c r="H5" s="2">
        <v>6.8</v>
      </c>
      <c r="I5" s="2">
        <v>190</v>
      </c>
      <c r="J5" s="2">
        <v>0</v>
      </c>
      <c r="K5" s="2">
        <v>4.5</v>
      </c>
      <c r="L5" s="2">
        <v>4.5999999999999996</v>
      </c>
      <c r="M5" s="2">
        <v>22</v>
      </c>
      <c r="N5" s="4" t="s">
        <v>19</v>
      </c>
    </row>
    <row r="6" spans="1:14" ht="30">
      <c r="A6" s="4" t="s">
        <v>31</v>
      </c>
      <c r="B6" s="5">
        <v>46235</v>
      </c>
      <c r="C6" s="4" t="s">
        <v>32</v>
      </c>
      <c r="D6" s="4" t="s">
        <v>33</v>
      </c>
      <c r="E6" s="4" t="s">
        <v>2</v>
      </c>
      <c r="F6" s="4" t="s">
        <v>34</v>
      </c>
      <c r="G6" s="4" t="s">
        <v>23</v>
      </c>
      <c r="H6" s="2">
        <v>10.4</v>
      </c>
      <c r="I6" s="2">
        <v>410</v>
      </c>
      <c r="J6" s="2">
        <v>30</v>
      </c>
      <c r="K6" s="2">
        <v>4.9000000000000004</v>
      </c>
      <c r="L6" s="2">
        <v>4.9000000000000004</v>
      </c>
      <c r="M6" s="2">
        <v>35</v>
      </c>
      <c r="N6" s="4" t="s">
        <v>19</v>
      </c>
    </row>
    <row r="7" spans="1:14" ht="30">
      <c r="A7" s="4" t="s">
        <v>35</v>
      </c>
      <c r="B7" s="5">
        <v>46236</v>
      </c>
      <c r="C7" s="4" t="s">
        <v>36</v>
      </c>
      <c r="D7" s="4" t="s">
        <v>16</v>
      </c>
      <c r="E7" s="4" t="s">
        <v>2</v>
      </c>
      <c r="F7" s="4" t="s">
        <v>22</v>
      </c>
      <c r="G7" s="4" t="s">
        <v>18</v>
      </c>
      <c r="H7" s="2">
        <v>7.2</v>
      </c>
      <c r="I7" s="2">
        <v>215</v>
      </c>
      <c r="J7" s="2">
        <v>25</v>
      </c>
      <c r="K7" s="2">
        <v>4.7</v>
      </c>
      <c r="L7" s="2">
        <v>4.4000000000000004</v>
      </c>
      <c r="M7" s="2">
        <v>25</v>
      </c>
      <c r="N7" s="4" t="s">
        <v>19</v>
      </c>
    </row>
    <row r="8" spans="1:14" ht="30">
      <c r="A8" s="4" t="s">
        <v>37</v>
      </c>
      <c r="B8" s="5">
        <v>46236</v>
      </c>
      <c r="C8" s="4" t="s">
        <v>15</v>
      </c>
      <c r="D8" s="4" t="s">
        <v>38</v>
      </c>
      <c r="E8" s="4" t="s">
        <v>2</v>
      </c>
      <c r="F8" s="4" t="s">
        <v>17</v>
      </c>
      <c r="G8" s="4" t="s">
        <v>18</v>
      </c>
      <c r="H8" s="2">
        <v>4.5</v>
      </c>
      <c r="I8" s="2">
        <v>105</v>
      </c>
      <c r="J8" s="2">
        <v>10</v>
      </c>
      <c r="K8" s="2">
        <v>4.5999999999999996</v>
      </c>
      <c r="L8" s="2">
        <v>4.5</v>
      </c>
      <c r="M8" s="2">
        <v>18</v>
      </c>
      <c r="N8" s="4" t="s">
        <v>19</v>
      </c>
    </row>
    <row r="9" spans="1:14" ht="30">
      <c r="A9" s="4" t="s">
        <v>39</v>
      </c>
      <c r="B9" s="5">
        <v>46236</v>
      </c>
      <c r="C9" s="4" t="s">
        <v>21</v>
      </c>
      <c r="D9" s="4" t="s">
        <v>26</v>
      </c>
      <c r="E9" s="4" t="s">
        <v>27</v>
      </c>
      <c r="F9" s="4" t="s">
        <v>34</v>
      </c>
      <c r="G9" s="4" t="s">
        <v>23</v>
      </c>
      <c r="H9" s="2">
        <v>28.7</v>
      </c>
      <c r="I9" s="2">
        <v>890</v>
      </c>
      <c r="J9" s="2">
        <v>100</v>
      </c>
      <c r="K9" s="2">
        <v>4.8</v>
      </c>
      <c r="L9" s="2">
        <v>4.9000000000000004</v>
      </c>
      <c r="M9" s="2">
        <v>67</v>
      </c>
      <c r="N9" s="4" t="s">
        <v>19</v>
      </c>
    </row>
    <row r="10" spans="1:14" ht="30">
      <c r="A10" s="4" t="s">
        <v>40</v>
      </c>
      <c r="B10" s="5">
        <v>46236</v>
      </c>
      <c r="C10" s="4" t="s">
        <v>25</v>
      </c>
      <c r="D10" s="4" t="s">
        <v>16</v>
      </c>
      <c r="E10" s="4" t="s">
        <v>2</v>
      </c>
      <c r="F10" s="4" t="s">
        <v>17</v>
      </c>
      <c r="G10" s="4" t="s">
        <v>30</v>
      </c>
      <c r="H10" s="2">
        <v>9.8000000000000007</v>
      </c>
      <c r="I10" s="2">
        <v>290</v>
      </c>
      <c r="J10" s="2">
        <v>0</v>
      </c>
      <c r="K10" s="2">
        <v>4.4000000000000004</v>
      </c>
      <c r="L10" s="2">
        <v>4.2</v>
      </c>
      <c r="M10" s="2">
        <v>31</v>
      </c>
      <c r="N10" s="4" t="s">
        <v>19</v>
      </c>
    </row>
    <row r="11" spans="1:14" ht="30">
      <c r="A11" s="4" t="s">
        <v>41</v>
      </c>
      <c r="B11" s="5">
        <v>46236</v>
      </c>
      <c r="C11" s="4" t="s">
        <v>42</v>
      </c>
      <c r="D11" s="4" t="s">
        <v>16</v>
      </c>
      <c r="E11" s="4" t="s">
        <v>27</v>
      </c>
      <c r="F11" s="4" t="s">
        <v>22</v>
      </c>
      <c r="G11" s="4" t="s">
        <v>18</v>
      </c>
      <c r="H11" s="2">
        <v>18.5</v>
      </c>
      <c r="I11" s="2">
        <v>540</v>
      </c>
      <c r="J11" s="2">
        <v>60</v>
      </c>
      <c r="K11" s="2">
        <v>4.7</v>
      </c>
      <c r="L11" s="2">
        <v>4.5999999999999996</v>
      </c>
      <c r="M11" s="2">
        <v>44</v>
      </c>
      <c r="N11" s="4" t="s">
        <v>19</v>
      </c>
    </row>
    <row r="12" spans="1:14" ht="30">
      <c r="A12" s="4" t="s">
        <v>43</v>
      </c>
      <c r="B12" s="5">
        <v>46237</v>
      </c>
      <c r="C12" s="4" t="s">
        <v>15</v>
      </c>
      <c r="D12" s="4" t="s">
        <v>33</v>
      </c>
      <c r="E12" s="4" t="s">
        <v>2</v>
      </c>
      <c r="F12" s="4" t="s">
        <v>34</v>
      </c>
      <c r="G12" s="4" t="s">
        <v>23</v>
      </c>
      <c r="H12" s="2">
        <v>14.2</v>
      </c>
      <c r="I12" s="2">
        <v>560</v>
      </c>
      <c r="J12" s="2">
        <v>40</v>
      </c>
      <c r="K12" s="2">
        <v>4.9000000000000004</v>
      </c>
      <c r="L12" s="2">
        <v>4.8</v>
      </c>
      <c r="M12" s="2">
        <v>43</v>
      </c>
      <c r="N12" s="4" t="s">
        <v>19</v>
      </c>
    </row>
    <row r="13" spans="1:14" ht="30">
      <c r="A13" s="4" t="s">
        <v>44</v>
      </c>
      <c r="B13" s="5">
        <v>46237</v>
      </c>
      <c r="C13" s="4" t="s">
        <v>21</v>
      </c>
      <c r="D13" s="4" t="s">
        <v>16</v>
      </c>
      <c r="E13" s="4" t="s">
        <v>2</v>
      </c>
      <c r="F13" s="4" t="s">
        <v>17</v>
      </c>
      <c r="G13" s="4" t="s">
        <v>18</v>
      </c>
      <c r="H13" s="2">
        <v>5.7</v>
      </c>
      <c r="I13" s="2">
        <v>175</v>
      </c>
      <c r="J13" s="2">
        <v>15</v>
      </c>
      <c r="K13" s="2">
        <v>4.5999999999999996</v>
      </c>
      <c r="L13" s="2">
        <v>4.7</v>
      </c>
      <c r="M13" s="2">
        <v>20</v>
      </c>
      <c r="N13" s="4" t="s">
        <v>19</v>
      </c>
    </row>
    <row r="14" spans="1:14" ht="30">
      <c r="A14" s="4" t="s">
        <v>45</v>
      </c>
      <c r="B14" s="5">
        <v>46237</v>
      </c>
      <c r="C14" s="4" t="s">
        <v>25</v>
      </c>
      <c r="D14" s="4" t="s">
        <v>38</v>
      </c>
      <c r="E14" s="4" t="s">
        <v>2</v>
      </c>
      <c r="F14" s="4" t="s">
        <v>22</v>
      </c>
      <c r="G14" s="4" t="s">
        <v>30</v>
      </c>
      <c r="H14" s="2">
        <v>3.8</v>
      </c>
      <c r="I14" s="2">
        <v>90</v>
      </c>
      <c r="J14" s="2">
        <v>0</v>
      </c>
      <c r="K14" s="2">
        <v>4.3</v>
      </c>
      <c r="L14" s="2">
        <v>4.0999999999999996</v>
      </c>
      <c r="M14" s="2">
        <v>16</v>
      </c>
      <c r="N14" s="4" t="s">
        <v>19</v>
      </c>
    </row>
    <row r="15" spans="1:14" ht="30">
      <c r="A15" s="4" t="s">
        <v>46</v>
      </c>
      <c r="B15" s="5">
        <v>46237</v>
      </c>
      <c r="C15" s="4" t="s">
        <v>29</v>
      </c>
      <c r="D15" s="4" t="s">
        <v>26</v>
      </c>
      <c r="E15" s="4" t="s">
        <v>27</v>
      </c>
      <c r="F15" s="4" t="s">
        <v>17</v>
      </c>
      <c r="G15" s="4" t="s">
        <v>23</v>
      </c>
      <c r="H15" s="2">
        <v>22.4</v>
      </c>
      <c r="I15" s="2">
        <v>680</v>
      </c>
      <c r="J15" s="2">
        <v>70</v>
      </c>
      <c r="K15" s="2">
        <v>4.8</v>
      </c>
      <c r="L15" s="2">
        <v>4.7</v>
      </c>
      <c r="M15" s="2">
        <v>52</v>
      </c>
      <c r="N15" s="4" t="s">
        <v>19</v>
      </c>
    </row>
    <row r="16" spans="1:14" ht="30">
      <c r="A16" s="4" t="s">
        <v>47</v>
      </c>
      <c r="B16" s="5">
        <v>46237</v>
      </c>
      <c r="C16" s="4" t="s">
        <v>32</v>
      </c>
      <c r="D16" s="4" t="s">
        <v>16</v>
      </c>
      <c r="E16" s="4" t="s">
        <v>2</v>
      </c>
      <c r="F16" s="4" t="s">
        <v>17</v>
      </c>
      <c r="G16" s="4" t="s">
        <v>18</v>
      </c>
      <c r="H16" s="2">
        <v>8.9</v>
      </c>
      <c r="I16" s="2">
        <v>260</v>
      </c>
      <c r="J16" s="2">
        <v>20</v>
      </c>
      <c r="K16" s="2">
        <v>4.7</v>
      </c>
      <c r="L16" s="2">
        <v>4.5999999999999996</v>
      </c>
      <c r="M16" s="2">
        <v>29</v>
      </c>
      <c r="N16" s="4" t="s">
        <v>19</v>
      </c>
    </row>
    <row r="17" spans="1:14" ht="30">
      <c r="A17" s="4" t="s">
        <v>48</v>
      </c>
      <c r="B17" s="5">
        <v>46237</v>
      </c>
      <c r="C17" s="4" t="s">
        <v>36</v>
      </c>
      <c r="D17" s="4" t="s">
        <v>33</v>
      </c>
      <c r="E17" s="4" t="s">
        <v>2</v>
      </c>
      <c r="F17" s="4" t="s">
        <v>34</v>
      </c>
      <c r="G17" s="4" t="s">
        <v>23</v>
      </c>
      <c r="H17" s="2">
        <v>11.5</v>
      </c>
      <c r="I17" s="2">
        <v>450</v>
      </c>
      <c r="J17" s="2">
        <v>35</v>
      </c>
      <c r="K17" s="2">
        <v>4.9000000000000004</v>
      </c>
      <c r="L17" s="2">
        <v>4.9000000000000004</v>
      </c>
      <c r="M17" s="2">
        <v>37</v>
      </c>
      <c r="N17" s="4" t="s">
        <v>19</v>
      </c>
    </row>
    <row r="18" spans="1:14" ht="30">
      <c r="A18" s="4" t="s">
        <v>49</v>
      </c>
      <c r="B18" s="5">
        <v>46238</v>
      </c>
      <c r="C18" s="4" t="s">
        <v>15</v>
      </c>
      <c r="D18" s="4" t="s">
        <v>16</v>
      </c>
      <c r="E18" s="4" t="s">
        <v>2</v>
      </c>
      <c r="F18" s="4" t="s">
        <v>22</v>
      </c>
      <c r="G18" s="4" t="s">
        <v>18</v>
      </c>
      <c r="H18" s="2">
        <v>6.4</v>
      </c>
      <c r="I18" s="2">
        <v>185</v>
      </c>
      <c r="J18" s="2">
        <v>20</v>
      </c>
      <c r="K18" s="2">
        <v>4.5</v>
      </c>
      <c r="L18" s="2">
        <v>4.3</v>
      </c>
      <c r="M18" s="2">
        <v>23</v>
      </c>
      <c r="N18" s="4" t="s">
        <v>50</v>
      </c>
    </row>
    <row r="19" spans="1:14" ht="27.6">
      <c r="A19" s="4" t="s">
        <v>51</v>
      </c>
      <c r="B19" s="5">
        <v>46238</v>
      </c>
      <c r="C19" s="4" t="s">
        <v>21</v>
      </c>
      <c r="D19" s="4" t="s">
        <v>16</v>
      </c>
      <c r="E19" s="4" t="s">
        <v>2</v>
      </c>
      <c r="F19" s="4" t="s">
        <v>17</v>
      </c>
      <c r="G19" s="4" t="s">
        <v>30</v>
      </c>
      <c r="H19" s="2">
        <v>10.6</v>
      </c>
      <c r="I19" s="2">
        <v>320</v>
      </c>
      <c r="J19" s="2">
        <v>0</v>
      </c>
      <c r="K19" s="2">
        <v>4.7</v>
      </c>
      <c r="L19" s="2">
        <v>4.5</v>
      </c>
      <c r="M19" s="2">
        <v>34</v>
      </c>
      <c r="N19" s="4" t="s">
        <v>19</v>
      </c>
    </row>
    <row r="20" spans="1:14" ht="27.6">
      <c r="A20" s="4" t="s">
        <v>52</v>
      </c>
      <c r="B20" s="5">
        <v>46238</v>
      </c>
      <c r="C20" s="4" t="s">
        <v>25</v>
      </c>
      <c r="D20" s="4" t="s">
        <v>33</v>
      </c>
      <c r="E20" s="4" t="s">
        <v>27</v>
      </c>
      <c r="F20" s="4" t="s">
        <v>34</v>
      </c>
      <c r="G20" s="4" t="s">
        <v>23</v>
      </c>
      <c r="H20" s="2">
        <v>26.3</v>
      </c>
      <c r="I20" s="2">
        <v>840</v>
      </c>
      <c r="J20" s="2">
        <v>90</v>
      </c>
      <c r="K20" s="2">
        <v>4.9000000000000004</v>
      </c>
      <c r="L20" s="2">
        <v>4.8</v>
      </c>
      <c r="M20" s="2">
        <v>61</v>
      </c>
      <c r="N20" s="4" t="s">
        <v>19</v>
      </c>
    </row>
    <row r="21" spans="1:14" ht="27.6">
      <c r="A21" s="4" t="s">
        <v>53</v>
      </c>
      <c r="B21" s="5">
        <v>46238</v>
      </c>
      <c r="C21" s="4" t="s">
        <v>42</v>
      </c>
      <c r="D21" s="4" t="s">
        <v>38</v>
      </c>
      <c r="E21" s="4" t="s">
        <v>2</v>
      </c>
      <c r="F21" s="4" t="s">
        <v>17</v>
      </c>
      <c r="G21" s="4" t="s">
        <v>18</v>
      </c>
      <c r="H21" s="2">
        <v>5.0999999999999996</v>
      </c>
      <c r="I21" s="2">
        <v>115</v>
      </c>
      <c r="J21" s="2">
        <v>10</v>
      </c>
      <c r="K21" s="2">
        <v>4.5</v>
      </c>
      <c r="L21" s="2">
        <v>4.4000000000000004</v>
      </c>
      <c r="M21" s="2">
        <v>19</v>
      </c>
      <c r="N21" s="4" t="s">
        <v>19</v>
      </c>
    </row>
    <row r="22" spans="1:14" ht="27.6">
      <c r="A22" s="4" t="s">
        <v>54</v>
      </c>
      <c r="B22" s="5">
        <v>46238</v>
      </c>
      <c r="C22" s="4" t="s">
        <v>29</v>
      </c>
      <c r="D22" s="4" t="s">
        <v>16</v>
      </c>
      <c r="E22" s="4" t="s">
        <v>2</v>
      </c>
      <c r="F22" s="4" t="s">
        <v>17</v>
      </c>
      <c r="G22" s="4" t="s">
        <v>18</v>
      </c>
      <c r="H22" s="2">
        <v>9.3000000000000007</v>
      </c>
      <c r="I22" s="2">
        <v>275</v>
      </c>
      <c r="J22" s="2">
        <v>25</v>
      </c>
      <c r="K22" s="2">
        <v>4.5999999999999996</v>
      </c>
      <c r="L22" s="2">
        <v>4.7</v>
      </c>
      <c r="M22" s="2">
        <v>30</v>
      </c>
      <c r="N22" s="4" t="s">
        <v>19</v>
      </c>
    </row>
    <row r="23" spans="1:14" ht="27.6">
      <c r="A23" s="4" t="s">
        <v>55</v>
      </c>
      <c r="B23" s="5">
        <v>46238</v>
      </c>
      <c r="C23" s="4" t="s">
        <v>32</v>
      </c>
      <c r="D23" s="4" t="s">
        <v>26</v>
      </c>
      <c r="E23" s="4" t="s">
        <v>27</v>
      </c>
      <c r="F23" s="4" t="s">
        <v>22</v>
      </c>
      <c r="G23" s="4" t="s">
        <v>23</v>
      </c>
      <c r="H23" s="2">
        <v>21.8</v>
      </c>
      <c r="I23" s="2">
        <v>650</v>
      </c>
      <c r="J23" s="2">
        <v>75</v>
      </c>
      <c r="K23" s="2">
        <v>4.7</v>
      </c>
      <c r="L23" s="2">
        <v>4.5</v>
      </c>
      <c r="M23" s="2">
        <v>50</v>
      </c>
      <c r="N23" s="4" t="s">
        <v>19</v>
      </c>
    </row>
    <row r="24" spans="1:14" ht="27.6">
      <c r="A24" s="4" t="s">
        <v>56</v>
      </c>
      <c r="B24" s="5">
        <v>46239</v>
      </c>
      <c r="C24" s="4" t="s">
        <v>36</v>
      </c>
      <c r="D24" s="4" t="s">
        <v>16</v>
      </c>
      <c r="E24" s="4" t="s">
        <v>2</v>
      </c>
      <c r="F24" s="4" t="s">
        <v>17</v>
      </c>
      <c r="G24" s="4" t="s">
        <v>30</v>
      </c>
      <c r="H24" s="2">
        <v>7.6</v>
      </c>
      <c r="I24" s="2">
        <v>225</v>
      </c>
      <c r="J24" s="2">
        <v>0</v>
      </c>
      <c r="K24" s="2">
        <v>4.4000000000000004</v>
      </c>
      <c r="L24" s="2">
        <v>4.3</v>
      </c>
      <c r="M24" s="2">
        <v>26</v>
      </c>
      <c r="N24" s="4" t="s">
        <v>19</v>
      </c>
    </row>
    <row r="25" spans="1:14" ht="27.6">
      <c r="A25" s="4" t="s">
        <v>57</v>
      </c>
      <c r="B25" s="5">
        <v>46239</v>
      </c>
      <c r="C25" s="4" t="s">
        <v>15</v>
      </c>
      <c r="D25" s="4" t="s">
        <v>38</v>
      </c>
      <c r="E25" s="4" t="s">
        <v>2</v>
      </c>
      <c r="F25" s="4" t="s">
        <v>22</v>
      </c>
      <c r="G25" s="4" t="s">
        <v>18</v>
      </c>
      <c r="H25" s="2">
        <v>3.2</v>
      </c>
      <c r="I25" s="2">
        <v>80</v>
      </c>
      <c r="J25" s="2">
        <v>5</v>
      </c>
      <c r="K25" s="2">
        <v>4.5</v>
      </c>
      <c r="L25" s="2">
        <v>4.2</v>
      </c>
      <c r="M25" s="2">
        <v>14</v>
      </c>
      <c r="N25" s="4" t="s">
        <v>19</v>
      </c>
    </row>
    <row r="26" spans="1:14" ht="27.6">
      <c r="A26" s="4" t="s">
        <v>58</v>
      </c>
      <c r="B26" s="5">
        <v>46239</v>
      </c>
      <c r="C26" s="4" t="s">
        <v>21</v>
      </c>
      <c r="D26" s="4" t="s">
        <v>33</v>
      </c>
      <c r="E26" s="4" t="s">
        <v>2</v>
      </c>
      <c r="F26" s="4" t="s">
        <v>34</v>
      </c>
      <c r="G26" s="4" t="s">
        <v>23</v>
      </c>
      <c r="H26" s="2">
        <v>13.7</v>
      </c>
      <c r="I26" s="2">
        <v>525</v>
      </c>
      <c r="J26" s="2">
        <v>45</v>
      </c>
      <c r="K26" s="2">
        <v>4.9000000000000004</v>
      </c>
      <c r="L26" s="2">
        <v>4.9000000000000004</v>
      </c>
      <c r="M26" s="2">
        <v>42</v>
      </c>
      <c r="N26" s="4" t="s">
        <v>19</v>
      </c>
    </row>
    <row r="27" spans="1:14" ht="27.6">
      <c r="A27" s="4" t="s">
        <v>59</v>
      </c>
      <c r="B27" s="5">
        <v>46239</v>
      </c>
      <c r="C27" s="4" t="s">
        <v>25</v>
      </c>
      <c r="D27" s="4" t="s">
        <v>16</v>
      </c>
      <c r="E27" s="4" t="s">
        <v>2</v>
      </c>
      <c r="F27" s="4" t="s">
        <v>17</v>
      </c>
      <c r="G27" s="4" t="s">
        <v>18</v>
      </c>
      <c r="H27" s="2">
        <v>11.4</v>
      </c>
      <c r="I27" s="2">
        <v>335</v>
      </c>
      <c r="J27" s="2">
        <v>30</v>
      </c>
      <c r="K27" s="2">
        <v>4.8</v>
      </c>
      <c r="L27" s="2">
        <v>4.7</v>
      </c>
      <c r="M27" s="2">
        <v>36</v>
      </c>
      <c r="N27" s="4" t="s">
        <v>19</v>
      </c>
    </row>
    <row r="28" spans="1:14" ht="27.6">
      <c r="A28" s="4" t="s">
        <v>60</v>
      </c>
      <c r="B28" s="5">
        <v>46239</v>
      </c>
      <c r="C28" s="4" t="s">
        <v>29</v>
      </c>
      <c r="D28" s="4" t="s">
        <v>16</v>
      </c>
      <c r="E28" s="4" t="s">
        <v>2</v>
      </c>
      <c r="F28" s="4" t="s">
        <v>22</v>
      </c>
      <c r="G28" s="4" t="s">
        <v>30</v>
      </c>
      <c r="H28" s="2">
        <v>5.9</v>
      </c>
      <c r="I28" s="2">
        <v>165</v>
      </c>
      <c r="J28" s="2">
        <v>0</v>
      </c>
      <c r="K28" s="2">
        <v>4.3</v>
      </c>
      <c r="L28" s="2">
        <v>4.0999999999999996</v>
      </c>
      <c r="M28" s="2">
        <v>21</v>
      </c>
      <c r="N28" s="4" t="s">
        <v>50</v>
      </c>
    </row>
    <row r="29" spans="1:14" ht="27.6">
      <c r="A29" s="4" t="s">
        <v>61</v>
      </c>
      <c r="B29" s="5">
        <v>46239</v>
      </c>
      <c r="C29" s="4" t="s">
        <v>32</v>
      </c>
      <c r="D29" s="4" t="s">
        <v>16</v>
      </c>
      <c r="E29" s="4" t="s">
        <v>2</v>
      </c>
      <c r="F29" s="4" t="s">
        <v>17</v>
      </c>
      <c r="G29" s="4" t="s">
        <v>18</v>
      </c>
      <c r="H29" s="2">
        <v>8.1999999999999993</v>
      </c>
      <c r="I29" s="2">
        <v>240</v>
      </c>
      <c r="J29" s="2">
        <v>20</v>
      </c>
      <c r="K29" s="2">
        <v>4.5999999999999996</v>
      </c>
      <c r="L29" s="2">
        <v>4.5</v>
      </c>
      <c r="M29" s="2">
        <v>27</v>
      </c>
      <c r="N29" s="4" t="s">
        <v>19</v>
      </c>
    </row>
    <row r="30" spans="1:14" ht="27.6">
      <c r="A30" s="4" t="s">
        <v>62</v>
      </c>
      <c r="B30" s="5">
        <v>46240</v>
      </c>
      <c r="C30" s="4" t="s">
        <v>42</v>
      </c>
      <c r="D30" s="4" t="s">
        <v>33</v>
      </c>
      <c r="E30" s="4" t="s">
        <v>27</v>
      </c>
      <c r="F30" s="4" t="s">
        <v>34</v>
      </c>
      <c r="G30" s="4" t="s">
        <v>23</v>
      </c>
      <c r="H30" s="2">
        <v>19.600000000000001</v>
      </c>
      <c r="I30" s="2">
        <v>610</v>
      </c>
      <c r="J30" s="2">
        <v>60</v>
      </c>
      <c r="K30" s="2">
        <v>4.8</v>
      </c>
      <c r="L30" s="2">
        <v>4.8</v>
      </c>
      <c r="M30" s="2">
        <v>47</v>
      </c>
      <c r="N30" s="4" t="s">
        <v>19</v>
      </c>
    </row>
    <row r="31" spans="1:14" ht="27.6">
      <c r="A31" s="4" t="s">
        <v>63</v>
      </c>
      <c r="B31" s="5">
        <v>46240</v>
      </c>
      <c r="C31" s="4" t="s">
        <v>36</v>
      </c>
      <c r="D31" s="4" t="s">
        <v>38</v>
      </c>
      <c r="E31" s="4" t="s">
        <v>2</v>
      </c>
      <c r="F31" s="4" t="s">
        <v>17</v>
      </c>
      <c r="G31" s="4" t="s">
        <v>18</v>
      </c>
      <c r="H31" s="2">
        <v>4.2</v>
      </c>
      <c r="I31" s="2">
        <v>95</v>
      </c>
      <c r="J31" s="2">
        <v>5</v>
      </c>
      <c r="K31" s="2">
        <v>4.5</v>
      </c>
      <c r="L31" s="2">
        <v>4.4000000000000004</v>
      </c>
      <c r="M31" s="2">
        <v>17</v>
      </c>
      <c r="N31" s="4" t="s">
        <v>19</v>
      </c>
    </row>
    <row r="32" spans="1:14" ht="27.6">
      <c r="A32" s="4" t="s">
        <v>64</v>
      </c>
      <c r="B32" s="5">
        <v>46240</v>
      </c>
      <c r="C32" s="4" t="s">
        <v>15</v>
      </c>
      <c r="D32" s="4" t="s">
        <v>26</v>
      </c>
      <c r="E32" s="4" t="s">
        <v>27</v>
      </c>
      <c r="F32" s="4" t="s">
        <v>17</v>
      </c>
      <c r="G32" s="4" t="s">
        <v>23</v>
      </c>
      <c r="H32" s="2">
        <v>25.8</v>
      </c>
      <c r="I32" s="2">
        <v>795</v>
      </c>
      <c r="J32" s="2">
        <v>85</v>
      </c>
      <c r="K32" s="2">
        <v>4.9000000000000004</v>
      </c>
      <c r="L32" s="2">
        <v>4.8</v>
      </c>
      <c r="M32" s="2">
        <v>59</v>
      </c>
      <c r="N32" s="4" t="s">
        <v>19</v>
      </c>
    </row>
    <row r="33" spans="1:14" ht="27.6">
      <c r="A33" s="4" t="s">
        <v>65</v>
      </c>
      <c r="B33" s="5">
        <v>46240</v>
      </c>
      <c r="C33" s="4" t="s">
        <v>21</v>
      </c>
      <c r="D33" s="4" t="s">
        <v>16</v>
      </c>
      <c r="E33" s="4" t="s">
        <v>2</v>
      </c>
      <c r="F33" s="4" t="s">
        <v>22</v>
      </c>
      <c r="G33" s="4" t="s">
        <v>18</v>
      </c>
      <c r="H33" s="2">
        <v>9.1</v>
      </c>
      <c r="I33" s="2">
        <v>270</v>
      </c>
      <c r="J33" s="2">
        <v>30</v>
      </c>
      <c r="K33" s="2">
        <v>4.5999999999999996</v>
      </c>
      <c r="L33" s="2">
        <v>4.5</v>
      </c>
      <c r="M33" s="2">
        <v>30</v>
      </c>
      <c r="N33" s="4" t="s">
        <v>19</v>
      </c>
    </row>
    <row r="34" spans="1:14" ht="27.6">
      <c r="A34" s="4" t="s">
        <v>66</v>
      </c>
      <c r="B34" s="5">
        <v>46240</v>
      </c>
      <c r="C34" s="4" t="s">
        <v>25</v>
      </c>
      <c r="D34" s="4" t="s">
        <v>16</v>
      </c>
      <c r="E34" s="4" t="s">
        <v>2</v>
      </c>
      <c r="F34" s="4" t="s">
        <v>17</v>
      </c>
      <c r="G34" s="4" t="s">
        <v>30</v>
      </c>
      <c r="H34" s="2">
        <v>6.7</v>
      </c>
      <c r="I34" s="2">
        <v>195</v>
      </c>
      <c r="J34" s="2">
        <v>0</v>
      </c>
      <c r="K34" s="2">
        <v>4.4000000000000004</v>
      </c>
      <c r="L34" s="2">
        <v>4.3</v>
      </c>
      <c r="M34" s="2">
        <v>23</v>
      </c>
      <c r="N34" s="4" t="s">
        <v>19</v>
      </c>
    </row>
    <row r="35" spans="1:14" ht="27.6">
      <c r="A35" s="4" t="s">
        <v>67</v>
      </c>
      <c r="B35" s="5">
        <v>46241</v>
      </c>
      <c r="C35" s="4" t="s">
        <v>29</v>
      </c>
      <c r="D35" s="4" t="s">
        <v>33</v>
      </c>
      <c r="E35" s="4" t="s">
        <v>2</v>
      </c>
      <c r="F35" s="4" t="s">
        <v>34</v>
      </c>
      <c r="G35" s="4" t="s">
        <v>23</v>
      </c>
      <c r="H35" s="2">
        <v>12.8</v>
      </c>
      <c r="I35" s="2">
        <v>490</v>
      </c>
      <c r="J35" s="2">
        <v>40</v>
      </c>
      <c r="K35" s="2">
        <v>4.9000000000000004</v>
      </c>
      <c r="L35" s="2">
        <v>4.9000000000000004</v>
      </c>
      <c r="M35" s="2">
        <v>39</v>
      </c>
      <c r="N35" s="4" t="s">
        <v>19</v>
      </c>
    </row>
    <row r="36" spans="1:14" ht="27.6">
      <c r="A36" s="4" t="s">
        <v>68</v>
      </c>
      <c r="B36" s="5">
        <v>46241</v>
      </c>
      <c r="C36" s="4" t="s">
        <v>32</v>
      </c>
      <c r="D36" s="4" t="s">
        <v>16</v>
      </c>
      <c r="E36" s="4" t="s">
        <v>2</v>
      </c>
      <c r="F36" s="4" t="s">
        <v>17</v>
      </c>
      <c r="G36" s="4" t="s">
        <v>18</v>
      </c>
      <c r="H36" s="2">
        <v>7.5</v>
      </c>
      <c r="I36" s="2">
        <v>220</v>
      </c>
      <c r="J36" s="2">
        <v>15</v>
      </c>
      <c r="K36" s="2">
        <v>4.7</v>
      </c>
      <c r="L36" s="2">
        <v>4.5999999999999996</v>
      </c>
      <c r="M36" s="2">
        <v>25</v>
      </c>
      <c r="N36" s="4" t="s">
        <v>19</v>
      </c>
    </row>
    <row r="37" spans="1:14" ht="27.6">
      <c r="A37" s="4" t="s">
        <v>69</v>
      </c>
      <c r="B37" s="5">
        <v>46241</v>
      </c>
      <c r="C37" s="4" t="s">
        <v>36</v>
      </c>
      <c r="D37" s="4" t="s">
        <v>26</v>
      </c>
      <c r="E37" s="4" t="s">
        <v>27</v>
      </c>
      <c r="F37" s="4" t="s">
        <v>17</v>
      </c>
      <c r="G37" s="4" t="s">
        <v>23</v>
      </c>
      <c r="H37" s="2">
        <v>23.6</v>
      </c>
      <c r="I37" s="2">
        <v>705</v>
      </c>
      <c r="J37" s="2">
        <v>70</v>
      </c>
      <c r="K37" s="2">
        <v>4.8</v>
      </c>
      <c r="L37" s="2">
        <v>4.7</v>
      </c>
      <c r="M37" s="2">
        <v>54</v>
      </c>
      <c r="N37" s="4" t="s">
        <v>19</v>
      </c>
    </row>
    <row r="38" spans="1:14" ht="27.6">
      <c r="A38" s="4" t="s">
        <v>70</v>
      </c>
      <c r="B38" s="5">
        <v>46241</v>
      </c>
      <c r="C38" s="4" t="s">
        <v>15</v>
      </c>
      <c r="D38" s="4" t="s">
        <v>16</v>
      </c>
      <c r="E38" s="4" t="s">
        <v>2</v>
      </c>
      <c r="F38" s="4" t="s">
        <v>22</v>
      </c>
      <c r="G38" s="4" t="s">
        <v>18</v>
      </c>
      <c r="H38" s="2">
        <v>5.3</v>
      </c>
      <c r="I38" s="2">
        <v>155</v>
      </c>
      <c r="J38" s="2">
        <v>20</v>
      </c>
      <c r="K38" s="2">
        <v>4.5</v>
      </c>
      <c r="L38" s="2">
        <v>4.4000000000000004</v>
      </c>
      <c r="M38" s="2">
        <v>19</v>
      </c>
      <c r="N38" s="4" t="s">
        <v>19</v>
      </c>
    </row>
    <row r="39" spans="1:14" ht="27.6">
      <c r="A39" s="4" t="s">
        <v>71</v>
      </c>
      <c r="B39" s="5">
        <v>46241</v>
      </c>
      <c r="C39" s="4" t="s">
        <v>21</v>
      </c>
      <c r="D39" s="4" t="s">
        <v>38</v>
      </c>
      <c r="E39" s="4" t="s">
        <v>2</v>
      </c>
      <c r="F39" s="4" t="s">
        <v>17</v>
      </c>
      <c r="G39" s="4" t="s">
        <v>30</v>
      </c>
      <c r="H39" s="2">
        <v>4.7</v>
      </c>
      <c r="I39" s="2">
        <v>110</v>
      </c>
      <c r="J39" s="2">
        <v>0</v>
      </c>
      <c r="K39" s="2">
        <v>4.4000000000000004</v>
      </c>
      <c r="L39" s="2">
        <v>4.2</v>
      </c>
      <c r="M39" s="2">
        <v>18</v>
      </c>
      <c r="N39" s="4" t="s">
        <v>50</v>
      </c>
    </row>
    <row r="40" spans="1:14" ht="27.6">
      <c r="A40" s="4" t="s">
        <v>72</v>
      </c>
      <c r="B40" s="5">
        <v>46241</v>
      </c>
      <c r="C40" s="4" t="s">
        <v>25</v>
      </c>
      <c r="D40" s="4" t="s">
        <v>16</v>
      </c>
      <c r="E40" s="4" t="s">
        <v>2</v>
      </c>
      <c r="F40" s="4" t="s">
        <v>34</v>
      </c>
      <c r="G40" s="4" t="s">
        <v>23</v>
      </c>
      <c r="H40" s="2">
        <v>10.9</v>
      </c>
      <c r="I40" s="2">
        <v>330</v>
      </c>
      <c r="J40" s="2">
        <v>25</v>
      </c>
      <c r="K40" s="2">
        <v>4.8</v>
      </c>
      <c r="L40" s="2">
        <v>4.7</v>
      </c>
      <c r="M40" s="2">
        <v>35</v>
      </c>
      <c r="N40" s="4" t="s">
        <v>19</v>
      </c>
    </row>
    <row r="41" spans="1:14" ht="27.6">
      <c r="A41" s="4" t="s">
        <v>73</v>
      </c>
      <c r="B41" s="5">
        <v>46241</v>
      </c>
      <c r="C41" s="4" t="s">
        <v>42</v>
      </c>
      <c r="D41" s="4" t="s">
        <v>16</v>
      </c>
      <c r="E41" s="4" t="s">
        <v>27</v>
      </c>
      <c r="F41" s="4" t="s">
        <v>17</v>
      </c>
      <c r="G41" s="4" t="s">
        <v>18</v>
      </c>
      <c r="H41" s="2">
        <v>16.8</v>
      </c>
      <c r="I41" s="2">
        <v>495</v>
      </c>
      <c r="J41" s="2">
        <v>50</v>
      </c>
      <c r="K41" s="2">
        <v>4.7</v>
      </c>
      <c r="L41" s="2">
        <v>4.5999999999999996</v>
      </c>
      <c r="M41" s="2">
        <v>40</v>
      </c>
      <c r="N41" s="4" t="s">
        <v>19</v>
      </c>
    </row>
    <row r="42" spans="1:14" ht="27.6">
      <c r="A42" s="4" t="s">
        <v>74</v>
      </c>
      <c r="B42" s="5">
        <v>46242</v>
      </c>
      <c r="C42" s="4" t="s">
        <v>29</v>
      </c>
      <c r="D42" s="4" t="s">
        <v>38</v>
      </c>
      <c r="E42" s="4" t="s">
        <v>2</v>
      </c>
      <c r="F42" s="4" t="s">
        <v>22</v>
      </c>
      <c r="G42" s="4" t="s">
        <v>18</v>
      </c>
      <c r="H42" s="2">
        <v>3.9</v>
      </c>
      <c r="I42" s="2">
        <v>92</v>
      </c>
      <c r="J42" s="2">
        <v>5</v>
      </c>
      <c r="K42" s="2">
        <v>4.5</v>
      </c>
      <c r="L42" s="2">
        <v>4.3</v>
      </c>
      <c r="M42" s="2">
        <v>15</v>
      </c>
      <c r="N42" s="4" t="s">
        <v>19</v>
      </c>
    </row>
    <row r="43" spans="1:14" ht="27.6">
      <c r="A43" s="4" t="s">
        <v>75</v>
      </c>
      <c r="B43" s="5">
        <v>46242</v>
      </c>
      <c r="C43" s="4" t="s">
        <v>32</v>
      </c>
      <c r="D43" s="4" t="s">
        <v>33</v>
      </c>
      <c r="E43" s="4" t="s">
        <v>2</v>
      </c>
      <c r="F43" s="4" t="s">
        <v>34</v>
      </c>
      <c r="G43" s="4" t="s">
        <v>23</v>
      </c>
      <c r="H43" s="2">
        <v>15.2</v>
      </c>
      <c r="I43" s="2">
        <v>575</v>
      </c>
      <c r="J43" s="2">
        <v>50</v>
      </c>
      <c r="K43" s="2">
        <v>4.9000000000000004</v>
      </c>
      <c r="L43" s="2">
        <v>4.8</v>
      </c>
      <c r="M43" s="2">
        <v>45</v>
      </c>
      <c r="N43" s="4" t="s">
        <v>19</v>
      </c>
    </row>
    <row r="44" spans="1:14" ht="27.6">
      <c r="A44" s="4" t="s">
        <v>76</v>
      </c>
      <c r="B44" s="5">
        <v>46242</v>
      </c>
      <c r="C44" s="4" t="s">
        <v>36</v>
      </c>
      <c r="D44" s="4" t="s">
        <v>16</v>
      </c>
      <c r="E44" s="4" t="s">
        <v>2</v>
      </c>
      <c r="F44" s="4" t="s">
        <v>17</v>
      </c>
      <c r="G44" s="4" t="s">
        <v>30</v>
      </c>
      <c r="H44" s="2">
        <v>8.8000000000000007</v>
      </c>
      <c r="I44" s="2">
        <v>255</v>
      </c>
      <c r="J44" s="2">
        <v>0</v>
      </c>
      <c r="K44" s="2">
        <v>4.5999999999999996</v>
      </c>
      <c r="L44" s="2">
        <v>4.5</v>
      </c>
      <c r="M44" s="2">
        <v>28</v>
      </c>
      <c r="N44" s="4" t="s">
        <v>19</v>
      </c>
    </row>
    <row r="45" spans="1:14" ht="27.6">
      <c r="A45" s="4" t="s">
        <v>77</v>
      </c>
      <c r="B45" s="5">
        <v>46242</v>
      </c>
      <c r="C45" s="4" t="s">
        <v>15</v>
      </c>
      <c r="D45" s="4" t="s">
        <v>16</v>
      </c>
      <c r="E45" s="4" t="s">
        <v>2</v>
      </c>
      <c r="F45" s="4" t="s">
        <v>17</v>
      </c>
      <c r="G45" s="4" t="s">
        <v>18</v>
      </c>
      <c r="H45" s="2">
        <v>10.1</v>
      </c>
      <c r="I45" s="2">
        <v>300</v>
      </c>
      <c r="J45" s="2">
        <v>25</v>
      </c>
      <c r="K45" s="2">
        <v>4.8</v>
      </c>
      <c r="L45" s="2">
        <v>4.7</v>
      </c>
      <c r="M45" s="2">
        <v>33</v>
      </c>
      <c r="N45" s="4" t="s">
        <v>19</v>
      </c>
    </row>
    <row r="46" spans="1:14" ht="27.6">
      <c r="A46" s="4" t="s">
        <v>78</v>
      </c>
      <c r="B46" s="5">
        <v>46242</v>
      </c>
      <c r="C46" s="4" t="s">
        <v>21</v>
      </c>
      <c r="D46" s="4" t="s">
        <v>26</v>
      </c>
      <c r="E46" s="4" t="s">
        <v>27</v>
      </c>
      <c r="F46" s="4" t="s">
        <v>34</v>
      </c>
      <c r="G46" s="4" t="s">
        <v>23</v>
      </c>
      <c r="H46" s="2">
        <v>27.4</v>
      </c>
      <c r="I46" s="2">
        <v>850</v>
      </c>
      <c r="J46" s="2">
        <v>100</v>
      </c>
      <c r="K46" s="2">
        <v>4.9000000000000004</v>
      </c>
      <c r="L46" s="2">
        <v>4.9000000000000004</v>
      </c>
      <c r="M46" s="2">
        <v>64</v>
      </c>
      <c r="N46" s="4" t="s">
        <v>19</v>
      </c>
    </row>
    <row r="47" spans="1:14" ht="27.6">
      <c r="A47" s="4" t="s">
        <v>79</v>
      </c>
      <c r="B47" s="5">
        <v>46242</v>
      </c>
      <c r="C47" s="4" t="s">
        <v>25</v>
      </c>
      <c r="D47" s="4" t="s">
        <v>38</v>
      </c>
      <c r="E47" s="4" t="s">
        <v>2</v>
      </c>
      <c r="F47" s="4" t="s">
        <v>22</v>
      </c>
      <c r="G47" s="4" t="s">
        <v>30</v>
      </c>
      <c r="H47" s="2">
        <v>4.0999999999999996</v>
      </c>
      <c r="I47" s="2">
        <v>95</v>
      </c>
      <c r="J47" s="2">
        <v>0</v>
      </c>
      <c r="K47" s="2">
        <v>4.2</v>
      </c>
      <c r="L47" s="2">
        <v>4</v>
      </c>
      <c r="M47" s="2">
        <v>17</v>
      </c>
      <c r="N47" s="4" t="s">
        <v>19</v>
      </c>
    </row>
    <row r="48" spans="1:14" ht="27.6">
      <c r="A48" s="4" t="s">
        <v>80</v>
      </c>
      <c r="B48" s="5">
        <v>46243</v>
      </c>
      <c r="C48" s="4" t="s">
        <v>29</v>
      </c>
      <c r="D48" s="4" t="s">
        <v>16</v>
      </c>
      <c r="E48" s="4" t="s">
        <v>2</v>
      </c>
      <c r="F48" s="4" t="s">
        <v>17</v>
      </c>
      <c r="G48" s="4" t="s">
        <v>18</v>
      </c>
      <c r="H48" s="2">
        <v>7.9</v>
      </c>
      <c r="I48" s="2">
        <v>230</v>
      </c>
      <c r="J48" s="2">
        <v>20</v>
      </c>
      <c r="K48" s="2">
        <v>4.7</v>
      </c>
      <c r="L48" s="2">
        <v>4.5999999999999996</v>
      </c>
      <c r="M48" s="2">
        <v>26</v>
      </c>
      <c r="N48" s="4" t="s">
        <v>19</v>
      </c>
    </row>
    <row r="49" spans="1:14" ht="27.6">
      <c r="A49" s="4" t="s">
        <v>81</v>
      </c>
      <c r="B49" s="5">
        <v>46243</v>
      </c>
      <c r="C49" s="4" t="s">
        <v>32</v>
      </c>
      <c r="D49" s="4" t="s">
        <v>26</v>
      </c>
      <c r="E49" s="4" t="s">
        <v>27</v>
      </c>
      <c r="F49" s="4" t="s">
        <v>17</v>
      </c>
      <c r="G49" s="4" t="s">
        <v>23</v>
      </c>
      <c r="H49" s="2">
        <v>20.5</v>
      </c>
      <c r="I49" s="2">
        <v>625</v>
      </c>
      <c r="J49" s="2">
        <v>65</v>
      </c>
      <c r="K49" s="2">
        <v>4.8</v>
      </c>
      <c r="L49" s="2">
        <v>4.7</v>
      </c>
      <c r="M49" s="2">
        <v>49</v>
      </c>
      <c r="N49" s="4" t="s">
        <v>19</v>
      </c>
    </row>
    <row r="50" spans="1:14" ht="27.6">
      <c r="A50" s="4" t="s">
        <v>82</v>
      </c>
      <c r="B50" s="5">
        <v>46243</v>
      </c>
      <c r="C50" s="4" t="s">
        <v>42</v>
      </c>
      <c r="D50" s="4" t="s">
        <v>38</v>
      </c>
      <c r="E50" s="4" t="s">
        <v>2</v>
      </c>
      <c r="F50" s="4" t="s">
        <v>22</v>
      </c>
      <c r="G50" s="4" t="s">
        <v>18</v>
      </c>
      <c r="H50" s="2">
        <v>4.8</v>
      </c>
      <c r="I50" s="2">
        <v>105</v>
      </c>
      <c r="J50" s="2">
        <v>10</v>
      </c>
      <c r="K50" s="2">
        <v>4.5999999999999996</v>
      </c>
      <c r="L50" s="2">
        <v>4.4000000000000004</v>
      </c>
      <c r="M50" s="2">
        <v>18</v>
      </c>
      <c r="N50" s="4" t="s">
        <v>19</v>
      </c>
    </row>
    <row r="51" spans="1:14" ht="27.6">
      <c r="A51" s="4" t="s">
        <v>83</v>
      </c>
      <c r="B51" s="5">
        <v>46243</v>
      </c>
      <c r="C51" s="4" t="s">
        <v>36</v>
      </c>
      <c r="D51" s="4" t="s">
        <v>16</v>
      </c>
      <c r="E51" s="4" t="s">
        <v>2</v>
      </c>
      <c r="F51" s="4" t="s">
        <v>17</v>
      </c>
      <c r="G51" s="4" t="s">
        <v>18</v>
      </c>
      <c r="H51" s="2">
        <v>9.6</v>
      </c>
      <c r="I51" s="2">
        <v>285</v>
      </c>
      <c r="J51" s="2">
        <v>25</v>
      </c>
      <c r="K51" s="2">
        <v>4.7</v>
      </c>
      <c r="L51" s="2">
        <v>4.5999999999999996</v>
      </c>
      <c r="M51" s="2">
        <v>32</v>
      </c>
      <c r="N51" s="4" t="s">
        <v>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37"/>
  <sheetViews>
    <sheetView showGridLines="0" workbookViewId="0">
      <selection activeCell="F15" sqref="F15"/>
    </sheetView>
  </sheetViews>
  <sheetFormatPr defaultRowHeight="13.8"/>
  <cols>
    <col min="1" max="1" width="30.8984375" customWidth="1"/>
    <col min="2" max="2" width="61.3984375" customWidth="1"/>
    <col min="3" max="3" width="8.8984375" customWidth="1"/>
    <col min="4" max="5" width="13.3984375" bestFit="1" customWidth="1"/>
    <col min="6" max="6" width="15.8984375" bestFit="1" customWidth="1"/>
    <col min="10" max="10" width="15.3984375" customWidth="1"/>
    <col min="11" max="11" width="14.59765625" bestFit="1" customWidth="1"/>
    <col min="12" max="12" width="12.3984375" bestFit="1" customWidth="1"/>
    <col min="13" max="13" width="14.8984375" bestFit="1" customWidth="1"/>
    <col min="15" max="15" width="13.3984375" bestFit="1" customWidth="1"/>
    <col min="16" max="16" width="16.3984375" bestFit="1" customWidth="1"/>
    <col min="17" max="17" width="12.3984375" bestFit="1" customWidth="1"/>
    <col min="18" max="18" width="14.59765625" bestFit="1" customWidth="1"/>
    <col min="21" max="21" width="13.3984375" bestFit="1" customWidth="1"/>
    <col min="22" max="22" width="23.69921875" bestFit="1" customWidth="1"/>
    <col min="29" max="29" width="13.3984375" bestFit="1" customWidth="1"/>
    <col min="30" max="30" width="16.3984375" bestFit="1" customWidth="1"/>
  </cols>
  <sheetData>
    <row r="1" spans="1:30" ht="15">
      <c r="A1" s="8" t="s">
        <v>84</v>
      </c>
      <c r="B1" s="11" t="s">
        <v>85</v>
      </c>
      <c r="C1" t="s">
        <v>119</v>
      </c>
      <c r="I1" s="13" t="s">
        <v>120</v>
      </c>
      <c r="J1" t="s">
        <v>87</v>
      </c>
    </row>
    <row r="2" spans="1:30" ht="15">
      <c r="A2" s="10" t="s">
        <v>86</v>
      </c>
      <c r="B2" s="12" t="s">
        <v>87</v>
      </c>
      <c r="C2">
        <f>COUNTA(Table1[Ride_ID])</f>
        <v>50</v>
      </c>
      <c r="I2" s="14" t="s">
        <v>38</v>
      </c>
      <c r="J2">
        <v>9</v>
      </c>
    </row>
    <row r="3" spans="1:30" ht="15">
      <c r="A3" s="10" t="s">
        <v>88</v>
      </c>
      <c r="B3" s="12" t="s">
        <v>89</v>
      </c>
      <c r="C3">
        <f>COUNTIF(DASHBOARD!N:N,DASHBOARD!N2)</f>
        <v>47</v>
      </c>
      <c r="I3" s="14" t="s">
        <v>33</v>
      </c>
      <c r="J3">
        <v>8</v>
      </c>
    </row>
    <row r="4" spans="1:30" ht="15">
      <c r="A4" s="10" t="s">
        <v>90</v>
      </c>
      <c r="B4" s="12" t="s">
        <v>91</v>
      </c>
      <c r="C4">
        <f>SUM(Table1[Fare_INR])</f>
        <v>18042</v>
      </c>
      <c r="I4" s="14" t="s">
        <v>16</v>
      </c>
      <c r="J4">
        <v>25</v>
      </c>
    </row>
    <row r="5" spans="1:30" ht="15">
      <c r="A5" s="10" t="s">
        <v>92</v>
      </c>
      <c r="B5" s="12" t="s">
        <v>93</v>
      </c>
      <c r="C5">
        <f>AVERAGE(Table1[Fare_INR])</f>
        <v>360.84</v>
      </c>
      <c r="I5" s="14" t="s">
        <v>26</v>
      </c>
      <c r="J5">
        <v>8</v>
      </c>
    </row>
    <row r="6" spans="1:30" ht="15">
      <c r="A6" s="10" t="s">
        <v>94</v>
      </c>
      <c r="B6" s="12" t="s">
        <v>95</v>
      </c>
      <c r="C6">
        <f>AVERAGE(Table1[Customer_Rating])</f>
        <v>4.5640000000000001</v>
      </c>
      <c r="I6" s="14" t="s">
        <v>121</v>
      </c>
      <c r="J6">
        <v>50</v>
      </c>
    </row>
    <row r="8" spans="1:30" ht="15">
      <c r="E8" s="13" t="s">
        <v>120</v>
      </c>
      <c r="F8" t="s">
        <v>91</v>
      </c>
    </row>
    <row r="9" spans="1:30" ht="15">
      <c r="A9" s="8" t="s">
        <v>96</v>
      </c>
      <c r="B9" s="8" t="s">
        <v>97</v>
      </c>
      <c r="E9" s="14" t="s">
        <v>15</v>
      </c>
      <c r="F9">
        <v>2425</v>
      </c>
      <c r="AC9" s="13" t="s">
        <v>120</v>
      </c>
      <c r="AD9" t="s">
        <v>87</v>
      </c>
    </row>
    <row r="10" spans="1:30" ht="15">
      <c r="A10" s="9" t="s">
        <v>98</v>
      </c>
      <c r="B10" s="10" t="s">
        <v>99</v>
      </c>
      <c r="E10" s="14" t="s">
        <v>32</v>
      </c>
      <c r="F10">
        <v>2980</v>
      </c>
      <c r="AC10" s="14" t="s">
        <v>50</v>
      </c>
      <c r="AD10">
        <v>3</v>
      </c>
    </row>
    <row r="11" spans="1:30" ht="15">
      <c r="A11" s="9" t="s">
        <v>100</v>
      </c>
      <c r="B11" s="10" t="s">
        <v>101</v>
      </c>
      <c r="E11" s="14" t="s">
        <v>25</v>
      </c>
      <c r="F11">
        <v>2895</v>
      </c>
      <c r="AC11" s="14" t="s">
        <v>19</v>
      </c>
      <c r="AD11">
        <v>47</v>
      </c>
    </row>
    <row r="12" spans="1:30" ht="15">
      <c r="A12" s="9" t="s">
        <v>102</v>
      </c>
      <c r="B12" s="10" t="s">
        <v>103</v>
      </c>
      <c r="E12" s="14" t="s">
        <v>29</v>
      </c>
      <c r="F12">
        <v>2122</v>
      </c>
      <c r="AC12" s="14" t="s">
        <v>121</v>
      </c>
      <c r="AD12">
        <v>50</v>
      </c>
    </row>
    <row r="13" spans="1:30" ht="15">
      <c r="A13" s="9" t="s">
        <v>104</v>
      </c>
      <c r="B13" s="10" t="s">
        <v>105</v>
      </c>
      <c r="E13" s="14" t="s">
        <v>42</v>
      </c>
      <c r="F13">
        <v>1865</v>
      </c>
    </row>
    <row r="14" spans="1:30" ht="15">
      <c r="A14" s="9" t="s">
        <v>106</v>
      </c>
      <c r="B14" s="10" t="s">
        <v>107</v>
      </c>
      <c r="E14" s="14" t="s">
        <v>21</v>
      </c>
      <c r="F14">
        <v>3525</v>
      </c>
    </row>
    <row r="15" spans="1:30" ht="15">
      <c r="A15" s="9" t="s">
        <v>108</v>
      </c>
      <c r="B15" s="10" t="s">
        <v>109</v>
      </c>
      <c r="E15" s="14" t="s">
        <v>36</v>
      </c>
      <c r="F15">
        <v>2230</v>
      </c>
    </row>
    <row r="16" spans="1:30" ht="15">
      <c r="A16" s="9" t="s">
        <v>110</v>
      </c>
      <c r="B16" s="10" t="s">
        <v>111</v>
      </c>
      <c r="E16" s="14" t="s">
        <v>121</v>
      </c>
      <c r="F16">
        <v>18042</v>
      </c>
      <c r="Q16" s="13" t="s">
        <v>120</v>
      </c>
      <c r="R16" t="s">
        <v>91</v>
      </c>
    </row>
    <row r="17" spans="1:18" ht="15">
      <c r="A17" s="9" t="s">
        <v>112</v>
      </c>
      <c r="B17" s="10" t="s">
        <v>113</v>
      </c>
      <c r="Q17" s="15">
        <v>46235</v>
      </c>
      <c r="R17">
        <v>1950</v>
      </c>
    </row>
    <row r="18" spans="1:18" ht="15">
      <c r="Q18" s="15">
        <v>46236</v>
      </c>
      <c r="R18">
        <v>2040</v>
      </c>
    </row>
    <row r="19" spans="1:18" ht="18">
      <c r="A19" s="6" t="s">
        <v>114</v>
      </c>
      <c r="Q19" s="15">
        <v>46237</v>
      </c>
      <c r="R19">
        <v>2215</v>
      </c>
    </row>
    <row r="20" spans="1:18" ht="15">
      <c r="A20" s="7"/>
      <c r="Q20" s="15">
        <v>46238</v>
      </c>
      <c r="R20">
        <v>2385</v>
      </c>
    </row>
    <row r="21" spans="1:18" ht="15">
      <c r="A21" s="7" t="s">
        <v>1</v>
      </c>
      <c r="Q21" s="15">
        <v>46239</v>
      </c>
      <c r="R21">
        <v>1570</v>
      </c>
    </row>
    <row r="22" spans="1:18" ht="15">
      <c r="A22" s="7" t="s">
        <v>2</v>
      </c>
      <c r="Q22" s="15">
        <v>46240</v>
      </c>
      <c r="R22">
        <v>1965</v>
      </c>
    </row>
    <row r="23" spans="1:18" ht="15">
      <c r="A23" s="7" t="s">
        <v>115</v>
      </c>
      <c r="Q23" s="15">
        <v>46241</v>
      </c>
      <c r="R23">
        <v>2505</v>
      </c>
    </row>
    <row r="24" spans="1:18" ht="15">
      <c r="A24" s="7" t="s">
        <v>116</v>
      </c>
      <c r="Q24" s="15">
        <v>46242</v>
      </c>
      <c r="R24">
        <v>2167</v>
      </c>
    </row>
    <row r="25" spans="1:18" ht="15">
      <c r="A25" s="7" t="s">
        <v>117</v>
      </c>
      <c r="Q25" s="15">
        <v>46243</v>
      </c>
      <c r="R25">
        <v>1245</v>
      </c>
    </row>
    <row r="26" spans="1:18" ht="15">
      <c r="A26" s="7" t="s">
        <v>118</v>
      </c>
      <c r="Q26" s="15" t="s">
        <v>121</v>
      </c>
      <c r="R26">
        <v>18042</v>
      </c>
    </row>
    <row r="27" spans="1:18" ht="15">
      <c r="A27" s="7" t="s">
        <v>13</v>
      </c>
    </row>
    <row r="30" spans="1:18" ht="15">
      <c r="D30" s="13" t="s">
        <v>120</v>
      </c>
      <c r="E30" t="s">
        <v>87</v>
      </c>
      <c r="J30" s="13" t="s">
        <v>120</v>
      </c>
      <c r="K30" t="s">
        <v>91</v>
      </c>
    </row>
    <row r="31" spans="1:18" ht="15">
      <c r="D31" s="14" t="s">
        <v>23</v>
      </c>
      <c r="E31">
        <v>17</v>
      </c>
      <c r="J31" s="14" t="s">
        <v>27</v>
      </c>
      <c r="K31">
        <v>8400</v>
      </c>
    </row>
    <row r="32" spans="1:18" ht="15">
      <c r="D32" s="14" t="s">
        <v>30</v>
      </c>
      <c r="E32">
        <v>10</v>
      </c>
      <c r="J32" s="14" t="s">
        <v>2</v>
      </c>
      <c r="K32">
        <v>9642</v>
      </c>
    </row>
    <row r="33" spans="4:22" ht="15">
      <c r="D33" s="14" t="s">
        <v>18</v>
      </c>
      <c r="E33">
        <v>23</v>
      </c>
      <c r="J33" s="14" t="s">
        <v>121</v>
      </c>
      <c r="K33">
        <v>18042</v>
      </c>
      <c r="O33" s="13" t="s">
        <v>120</v>
      </c>
      <c r="P33" t="s">
        <v>87</v>
      </c>
      <c r="U33" s="13" t="s">
        <v>120</v>
      </c>
      <c r="V33" t="s">
        <v>122</v>
      </c>
    </row>
    <row r="34" spans="4:22">
      <c r="D34" s="14" t="s">
        <v>121</v>
      </c>
      <c r="E34">
        <v>50</v>
      </c>
      <c r="O34" s="14" t="s">
        <v>22</v>
      </c>
      <c r="P34" s="16">
        <v>13</v>
      </c>
      <c r="U34" s="14" t="s">
        <v>26</v>
      </c>
      <c r="V34">
        <v>38</v>
      </c>
    </row>
    <row r="35" spans="4:22">
      <c r="O35" s="14" t="s">
        <v>34</v>
      </c>
      <c r="P35" s="16">
        <v>11</v>
      </c>
      <c r="U35" s="14" t="s">
        <v>121</v>
      </c>
      <c r="V35">
        <v>38</v>
      </c>
    </row>
    <row r="36" spans="4:22">
      <c r="O36" s="14" t="s">
        <v>17</v>
      </c>
      <c r="P36" s="16">
        <v>26</v>
      </c>
    </row>
    <row r="37" spans="4:22">
      <c r="O37" s="14" t="s">
        <v>121</v>
      </c>
      <c r="P37" s="16">
        <v>50</v>
      </c>
    </row>
  </sheetData>
  <pageMargins left="0.7" right="0.7" top="0.75" bottom="0.75" header="0.3" footer="0.3"/>
  <drawing r:id="rId9"/>
  <tableParts count="1">
    <tablePart r:id="rId10"/>
  </tableParts>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51" zoomScaleNormal="51" workbookViewId="0">
      <selection activeCell="M65" sqref="M65"/>
    </sheetView>
  </sheetViews>
  <sheetFormatPr defaultRowHeight="13.8"/>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CONTENTS</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shabnam edakuni</dc:creator>
  <cp:lastModifiedBy>Ardra p</cp:lastModifiedBy>
  <dcterms:created xsi:type="dcterms:W3CDTF">2026-08-10T04:14:19Z</dcterms:created>
  <dcterms:modified xsi:type="dcterms:W3CDTF">2026-09-30T04:10:04Z</dcterms:modified>
</cp:coreProperties>
</file>