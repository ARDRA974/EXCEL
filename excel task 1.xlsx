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dra\Downloads\"/>
    </mc:Choice>
  </mc:AlternateContent>
  <bookViews>
    <workbookView xWindow="0" yWindow="0" windowWidth="19368" windowHeight="10524"/>
  </bookViews>
  <sheets>
    <sheet name="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2" i="1"/>
  <c r="C11" i="1"/>
  <c r="E18" i="1" s="1"/>
  <c r="C13" i="1" l="1"/>
  <c r="C15" i="1" s="1"/>
  <c r="J3" i="1"/>
  <c r="F3" i="1"/>
</calcChain>
</file>

<file path=xl/sharedStrings.xml><?xml version="1.0" encoding="utf-8"?>
<sst xmlns="http://schemas.openxmlformats.org/spreadsheetml/2006/main" count="17" uniqueCount="17">
  <si>
    <t>Units sold</t>
  </si>
  <si>
    <t>(Selling) Price per unit</t>
  </si>
  <si>
    <t>Inputs</t>
  </si>
  <si>
    <t>Profit &amp; Loss Calculations (formulas)</t>
  </si>
  <si>
    <t>Revenue</t>
  </si>
  <si>
    <t>Cost of sales</t>
  </si>
  <si>
    <t>Production cost per unit</t>
  </si>
  <si>
    <t>Payroll</t>
  </si>
  <si>
    <t>Building lease</t>
  </si>
  <si>
    <t>Gross profit</t>
  </si>
  <si>
    <t>Fixed costs</t>
  </si>
  <si>
    <t>Net profit</t>
  </si>
  <si>
    <t>Energy costs</t>
  </si>
  <si>
    <t>Selling price</t>
  </si>
  <si>
    <t>One variable table</t>
  </si>
  <si>
    <t>Units Sold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</si>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</sst>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&quot;£&quot;#,##0.00"/>
    <numFmt numFmtId="166" formatCode="&quot;£&quot;#,##0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5" fontId="2" fillId="2" borderId="0" xfId="0" applyNumberFormat="1" applyFont="1" applyFill="1"/>
    <xf numFmtId="3" fontId="2" fillId="2" borderId="0" xfId="0" applyNumberFormat="1" applyFont="1" applyFill="1"/>
    <xf numFmtId="166" fontId="0" fillId="2" borderId="0" xfId="0" applyNumberFormat="1" applyFill="1"/>
    <xf numFmtId="0" fontId="2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8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2" sqref="C12"/>
    </sheetView>
  </sheetViews>
  <sheetFormatPr defaultRowHeight="14.4" x14ac:dyDescent="0.3"/>
  <cols>
    <col min="2" max="2" width="21.6640625" customWidth="1"/>
    <col min="3" max="3" width="12.6640625" bestFit="1" customWidth="1"/>
    <col min="5" max="5" width="11.109375" bestFit="1" customWidth="1"/>
    <col min="6" max="6" width="11.33203125" bestFit="1" customWidth="1"/>
    <col min="7" max="8" width="11.33203125" customWidth="1"/>
    <col min="9" max="10" width="10.6640625" bestFit="1" customWidth="1"/>
    <col min="11" max="18" width="11.33203125" bestFit="1" customWidth="1"/>
  </cols>
  <sheetData>
    <row r="2" spans="2:15" x14ac:dyDescent="0.3">
      <c r="B2" s="1" t="s">
        <v>2</v>
      </c>
      <c r="C2" s="1"/>
      <c r="E2" s="1" t="s">
        <v>14</v>
      </c>
      <c r="F2" s="1"/>
      <c r="G2" s="1"/>
      <c r="K2" t="s">
        <v>15</v>
      </c>
    </row>
    <row r="3" spans="2:15" x14ac:dyDescent="0.3">
      <c r="B3" t="s">
        <v>0</v>
      </c>
      <c r="C3" s="4">
        <v>10000</v>
      </c>
      <c r="E3" t="s">
        <v>13</v>
      </c>
      <c r="F3" s="3">
        <f>C11</f>
        <v>999900</v>
      </c>
      <c r="J3" s="7">
        <f>C11</f>
        <v>999900</v>
      </c>
      <c r="K3" s="6">
        <v>8000</v>
      </c>
      <c r="L3" s="6">
        <v>8500</v>
      </c>
      <c r="M3" s="6">
        <v>9000</v>
      </c>
      <c r="N3" s="6">
        <v>9500</v>
      </c>
      <c r="O3" s="6">
        <v>10000</v>
      </c>
    </row>
    <row r="4" spans="2:15" x14ac:dyDescent="0.3">
      <c r="B4" t="s">
        <v>1</v>
      </c>
      <c r="C4" s="2">
        <v>99.99</v>
      </c>
      <c r="E4" s="2">
        <v>79.989999999999995</v>
      </c>
      <c r="F4" s="3">
        <f t="dataTable" ref="F4:F14" dt2D="0" dtr="0" r1="C4" ca="1"/>
        <v>799900</v>
      </c>
      <c r="J4" s="5">
        <v>79.989999999999995</v>
      </c>
      <c r="K4" s="3">
        <f t="dataTable" ref="K4:O14" dt2D="1" dtr="1" r1="C3" r2="C4"/>
        <v>639920</v>
      </c>
      <c r="L4" s="3">
        <v>679915</v>
      </c>
      <c r="M4" s="3">
        <v>719910</v>
      </c>
      <c r="N4" s="3">
        <v>759905</v>
      </c>
      <c r="O4" s="3">
        <v>799900</v>
      </c>
    </row>
    <row r="5" spans="2:15" x14ac:dyDescent="0.3">
      <c r="B5" t="s">
        <v>6</v>
      </c>
      <c r="C5" s="2">
        <v>42.15</v>
      </c>
      <c r="E5" s="2">
        <v>84.99</v>
      </c>
      <c r="F5" s="3">
        <v>849900</v>
      </c>
      <c r="J5" s="5">
        <v>84.99</v>
      </c>
      <c r="K5" s="3">
        <v>679920</v>
      </c>
      <c r="L5" s="3">
        <v>722415</v>
      </c>
      <c r="M5" s="3">
        <v>764910</v>
      </c>
      <c r="N5" s="3">
        <v>807405</v>
      </c>
      <c r="O5" s="3">
        <v>849900</v>
      </c>
    </row>
    <row r="6" spans="2:15" x14ac:dyDescent="0.3">
      <c r="B6" t="s">
        <v>7</v>
      </c>
      <c r="C6" s="3">
        <v>256000</v>
      </c>
      <c r="E6" s="2">
        <v>89.99</v>
      </c>
      <c r="F6" s="3">
        <v>899900</v>
      </c>
      <c r="J6" s="5">
        <v>89.99</v>
      </c>
      <c r="K6" s="3">
        <v>719920</v>
      </c>
      <c r="L6" s="3">
        <v>764915</v>
      </c>
      <c r="M6" s="3">
        <v>809910</v>
      </c>
      <c r="N6" s="3">
        <v>854905</v>
      </c>
      <c r="O6" s="3">
        <v>899900</v>
      </c>
    </row>
    <row r="7" spans="2:15" x14ac:dyDescent="0.3">
      <c r="B7" t="s">
        <v>8</v>
      </c>
      <c r="C7" s="3">
        <v>90000</v>
      </c>
      <c r="E7" s="2">
        <v>94.99</v>
      </c>
      <c r="F7" s="3">
        <v>949900</v>
      </c>
      <c r="J7" s="5">
        <v>94.99</v>
      </c>
      <c r="K7" s="3">
        <v>759920</v>
      </c>
      <c r="L7" s="3">
        <v>807415</v>
      </c>
      <c r="M7" s="3">
        <v>854910</v>
      </c>
      <c r="N7" s="3">
        <v>902405</v>
      </c>
      <c r="O7" s="3">
        <v>949900</v>
      </c>
    </row>
    <row r="8" spans="2:15" x14ac:dyDescent="0.3">
      <c r="B8" t="s">
        <v>12</v>
      </c>
      <c r="C8" s="3">
        <v>51000</v>
      </c>
      <c r="E8" s="2">
        <v>99.99</v>
      </c>
      <c r="F8" s="3">
        <v>999900</v>
      </c>
      <c r="J8" s="5">
        <v>99.99</v>
      </c>
      <c r="K8" s="3">
        <v>799920</v>
      </c>
      <c r="L8" s="3">
        <v>849915</v>
      </c>
      <c r="M8" s="3">
        <v>899910</v>
      </c>
      <c r="N8" s="3">
        <v>949905</v>
      </c>
      <c r="O8" s="3">
        <v>999900</v>
      </c>
    </row>
    <row r="9" spans="2:15" x14ac:dyDescent="0.3">
      <c r="E9" s="2">
        <v>104.99</v>
      </c>
      <c r="F9" s="3">
        <v>1049900</v>
      </c>
      <c r="J9" s="5">
        <v>104.99</v>
      </c>
      <c r="K9" s="3">
        <v>839920</v>
      </c>
      <c r="L9" s="3">
        <v>892415</v>
      </c>
      <c r="M9" s="3">
        <v>944910</v>
      </c>
      <c r="N9" s="3">
        <v>997405</v>
      </c>
      <c r="O9" s="3">
        <v>1049900</v>
      </c>
    </row>
    <row r="10" spans="2:15" x14ac:dyDescent="0.3">
      <c r="B10" s="8" t="s">
        <v>3</v>
      </c>
      <c r="C10" s="8"/>
      <c r="E10" s="2">
        <v>109.99</v>
      </c>
      <c r="F10" s="3">
        <v>1099900</v>
      </c>
      <c r="J10" s="5">
        <v>109.99</v>
      </c>
      <c r="K10" s="3">
        <v>879920</v>
      </c>
      <c r="L10" s="3">
        <v>934915</v>
      </c>
      <c r="M10" s="3">
        <v>989910</v>
      </c>
      <c r="N10" s="3">
        <v>1044905</v>
      </c>
      <c r="O10" s="3">
        <v>1099900</v>
      </c>
    </row>
    <row r="11" spans="2:15" x14ac:dyDescent="0.3">
      <c r="B11" t="s">
        <v>4</v>
      </c>
      <c r="C11" s="3">
        <f>C3*C4</f>
        <v>999900</v>
      </c>
      <c r="E11" s="2">
        <v>114.99</v>
      </c>
      <c r="F11" s="3">
        <v>1149900</v>
      </c>
      <c r="J11" s="5">
        <v>114.99</v>
      </c>
      <c r="K11" s="3">
        <v>919920</v>
      </c>
      <c r="L11" s="3">
        <v>977415</v>
      </c>
      <c r="M11" s="3">
        <v>1034910</v>
      </c>
      <c r="N11" s="3">
        <v>1092405</v>
      </c>
      <c r="O11" s="3">
        <v>1149900</v>
      </c>
    </row>
    <row r="12" spans="2:15" x14ac:dyDescent="0.3">
      <c r="B12" t="s">
        <v>5</v>
      </c>
      <c r="C12" s="3">
        <f>C3*C5</f>
        <v>421500</v>
      </c>
      <c r="E12" s="2">
        <v>119.99</v>
      </c>
      <c r="F12" s="3">
        <v>1199900</v>
      </c>
      <c r="J12" s="5">
        <v>119.99</v>
      </c>
      <c r="K12" s="3">
        <v>959920</v>
      </c>
      <c r="L12" s="3">
        <v>1019915</v>
      </c>
      <c r="M12" s="3">
        <v>1079910</v>
      </c>
      <c r="N12" s="3">
        <v>1139905</v>
      </c>
      <c r="O12" s="3">
        <v>1199900</v>
      </c>
    </row>
    <row r="13" spans="2:15" x14ac:dyDescent="0.3">
      <c r="B13" t="s">
        <v>9</v>
      </c>
      <c r="C13" s="3">
        <f>C11-C12</f>
        <v>578400</v>
      </c>
      <c r="E13" s="2">
        <v>124.99</v>
      </c>
      <c r="F13" s="3">
        <v>1249900</v>
      </c>
      <c r="J13" s="5">
        <v>124.99</v>
      </c>
      <c r="K13" s="3">
        <v>999920</v>
      </c>
      <c r="L13" s="3">
        <v>1062415</v>
      </c>
      <c r="M13" s="3">
        <v>1124910</v>
      </c>
      <c r="N13" s="3">
        <v>1187405</v>
      </c>
      <c r="O13" s="3">
        <v>1249900</v>
      </c>
    </row>
    <row r="14" spans="2:15" x14ac:dyDescent="0.3">
      <c r="B14" t="s">
        <v>10</v>
      </c>
      <c r="C14" s="3">
        <f>C6+C7+C8</f>
        <v>397000</v>
      </c>
      <c r="E14" s="2">
        <v>129.99</v>
      </c>
      <c r="F14" s="3">
        <v>1299900</v>
      </c>
      <c r="J14" s="5">
        <v>129.99</v>
      </c>
      <c r="K14" s="3">
        <v>1039920.0000000001</v>
      </c>
      <c r="L14" s="3">
        <v>1104915</v>
      </c>
      <c r="M14" s="3">
        <v>1169910</v>
      </c>
      <c r="N14" s="3">
        <v>1234905</v>
      </c>
      <c r="O14" s="3">
        <v>1299900</v>
      </c>
    </row>
    <row r="15" spans="2:15" x14ac:dyDescent="0.3">
      <c r="B15" t="s">
        <v>11</v>
      </c>
      <c r="C15" s="3">
        <f>C13-C14</f>
        <v>181400</v>
      </c>
    </row>
    <row r="17" spans="5:10" x14ac:dyDescent="0.3">
      <c r="E17" t="s">
        <v>16</v>
      </c>
      <c r="F17">
        <v>8000</v>
      </c>
      <c r="G17">
        <v>8500</v>
      </c>
      <c r="H17">
        <v>9000</v>
      </c>
      <c r="I17">
        <v>9500</v>
      </c>
      <c r="J17">
        <v>10000</v>
      </c>
    </row>
    <row r="18" spans="5:10" x14ac:dyDescent="0.3">
      <c r="E18" s="2">
        <f>C11</f>
        <v>999900</v>
      </c>
      <c r="F18">
        <f t="dataTable" ref="F18:J18" dt2D="0" dtr="1" r1="C4" ca="1"/>
        <v>80000000</v>
      </c>
      <c r="G18">
        <v>85000000</v>
      </c>
      <c r="H18">
        <v>90000000</v>
      </c>
      <c r="I18">
        <v>95000000</v>
      </c>
      <c r="J18">
        <v>100000000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Chester Tugwell</dc:creator>
  <cp:lastModifiedBy>Ardra p</cp:lastModifiedBy>
  <dcterms:created xsi:type="dcterms:W3CDTF">2022-02-01T14:00:28Z</dcterms:created>
  <dcterms:modified xsi:type="dcterms:W3CDTF">2026-09-22T04:59:22Z</dcterms:modified>
</cp:coreProperties>
</file>