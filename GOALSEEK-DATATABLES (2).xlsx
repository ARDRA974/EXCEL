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8DD759F-9E59-461A-B6EF-4CBFF3768CB2}" xr6:coauthVersionLast="47" xr6:coauthVersionMax="47" xr10:uidLastSave="{00000000-0000-0000-0000-000000000000}"/>
  <bookViews>
    <workbookView xWindow="-120" yWindow="-120" windowWidth="20730" windowHeight="11160" xr2:uid="{082F78D2-2593-45C1-BC53-8B96B81FCE19}"/>
  </bookViews>
  <sheets>
    <sheet name="DATATABLES" sheetId="1" r:id="rId1"/>
    <sheet name="GOAL SEEK TAS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E4" i="2"/>
  <c r="E3" i="2"/>
  <c r="B5" i="2"/>
  <c r="B6" i="2" s="1"/>
  <c r="E2" i="2"/>
  <c r="G14" i="2"/>
  <c r="C12" i="1"/>
  <c r="C11" i="1"/>
  <c r="E18" i="1" s="1"/>
  <c r="C14" i="1"/>
  <c r="F3" i="1" l="1"/>
  <c r="C13" i="1"/>
  <c r="C15" i="1" s="1"/>
  <c r="J3" i="1" s="1"/>
</calcChain>
</file>

<file path=xl/sharedStrings.xml><?xml version="1.0" encoding="utf-8"?>
<sst xmlns="http://schemas.openxmlformats.org/spreadsheetml/2006/main" count="39" uniqueCount="37">
  <si>
    <t>Units sold</t>
  </si>
  <si>
    <t>(Selling) Price per unit</t>
  </si>
  <si>
    <t>Inputs</t>
  </si>
  <si>
    <t>Profit &amp; Loss Calculations (formulas)</t>
  </si>
  <si>
    <t>Revenue</t>
  </si>
  <si>
    <t>Cost of sales</t>
  </si>
  <si>
    <t>Production cost per unit</t>
  </si>
  <si>
    <t>Payroll</t>
  </si>
  <si>
    <t>Building lease</t>
  </si>
  <si>
    <t>Gross profit</t>
  </si>
  <si>
    <t>Fixed costs</t>
  </si>
  <si>
    <t>Net profit</t>
  </si>
  <si>
    <t>Energy costs</t>
  </si>
  <si>
    <t>Selling price</t>
  </si>
  <si>
    <t>One variable table</t>
  </si>
  <si>
    <t>Units Sold</t>
  </si>
  <si>
    <t>PRODUCT</t>
  </si>
  <si>
    <t>UNIT COST</t>
  </si>
  <si>
    <t>SELLING PRICE</t>
  </si>
  <si>
    <t>UNIT SOLD</t>
  </si>
  <si>
    <t>LAPTOP</t>
  </si>
  <si>
    <t>TOTAL REVENUE</t>
  </si>
  <si>
    <t>TOTAL PROFIT</t>
  </si>
  <si>
    <t>CURRENT SALARY</t>
  </si>
  <si>
    <t>Q.TO EARN 1,00,000 HOW MUCH EACH EARN A MONTH</t>
  </si>
  <si>
    <t>TOTAL MARKS</t>
  </si>
  <si>
    <t>PERCENTAGE</t>
  </si>
  <si>
    <t>Q.REACH TARGET 75% HOW MUCH TO SCORE</t>
  </si>
  <si>
    <t>MONTHLY SAVINGS</t>
  </si>
  <si>
    <t>INITIAL SAVINGS</t>
  </si>
  <si>
    <t>FINAL AMOUNT</t>
  </si>
  <si>
    <t>REQUIRED INCREASE</t>
  </si>
  <si>
    <t>SCORE</t>
  </si>
  <si>
    <t>Column1</t>
  </si>
  <si>
    <t>Column2</t>
  </si>
  <si>
    <t>Q.TO REACH TARGET 200000 HOW MUCH SHOULD WE CHANGE MS</t>
  </si>
  <si>
    <t>unit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</si>
</sst>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&quot;£&quot;#,##0.00"/>
    <numFmt numFmtId="166" formatCode="&quot;£&quot;#,##0"/>
    <numFmt numFmtId="167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65" fontId="2" fillId="2" borderId="0" xfId="0" applyNumberFormat="1" applyFont="1" applyFill="1"/>
    <xf numFmtId="3" fontId="2" fillId="2" borderId="0" xfId="0" applyNumberFormat="1" applyFont="1" applyFill="1"/>
    <xf numFmtId="166" fontId="0" fillId="2" borderId="0" xfId="0" applyNumberFormat="1" applyFill="1"/>
    <xf numFmtId="0" fontId="0" fillId="3" borderId="0" xfId="0" applyFill="1"/>
    <xf numFmtId="0" fontId="3" fillId="4" borderId="0" xfId="0" applyFont="1" applyFill="1"/>
    <xf numFmtId="0" fontId="2" fillId="2" borderId="0" xfId="0" applyFont="1" applyFill="1" applyAlignment="1">
      <alignment horizontal="lef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72ACD-EF10-4B9B-A627-7B66BF07182D}" name="Table1" displayName="Table1" ref="A1:B6" totalsRowShown="0">
  <autoFilter ref="A1:B6" xr:uid="{47972ACD-EF10-4B9B-A627-7B66BF07182D}"/>
  <tableColumns count="2">
    <tableColumn id="1" xr3:uid="{24796C9E-EB5C-4DAF-AF28-DE9E8611CD35}" name="PRODUCT"/>
    <tableColumn id="2" xr3:uid="{90F03281-03E0-4AF4-85F4-9C6F15914FDC}" name="LAPTOP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87F88-B798-4A82-A925-C7DD9F40FF60}" name="Table2" displayName="Table2" ref="E1:F4" totalsRowShown="0">
  <autoFilter ref="E1:F4" xr:uid="{04887F88-B798-4A82-A925-C7DD9F40FF60}"/>
  <tableColumns count="2">
    <tableColumn id="1" xr3:uid="{4B72E328-673E-45AB-9036-92B31D804501}" name="CURRENT SALARY"/>
    <tableColumn id="2" xr3:uid="{15BED9B1-1CDD-460C-BA3A-AE1B533024B9}" name="REQUIRED INCREAS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F5F5B9-3B28-4661-9A61-08BA2B66CAFF}" name="Table3" displayName="Table3" ref="E7:F10" totalsRowShown="0">
  <autoFilter ref="E7:F10" xr:uid="{7CF5F5B9-3B28-4661-9A61-08BA2B66CAFF}"/>
  <tableColumns count="2">
    <tableColumn id="1" xr3:uid="{2F2C8B02-7C62-4BBE-90A1-06A4814AA25E}" name="Column2"/>
    <tableColumn id="2" xr3:uid="{5E19318C-2DE4-4F2D-82C0-ED63E24BCFB9}" name="Column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1C582B-6752-4BF0-BCC4-31D8E6257264}" name="Table4" displayName="Table4" ref="E13:H14" totalsRowShown="0">
  <autoFilter ref="E13:H14" xr:uid="{F51C582B-6752-4BF0-BCC4-31D8E6257264}"/>
  <tableColumns count="4">
    <tableColumn id="1" xr3:uid="{A31CBB98-5ACB-4131-84F8-01E811F678D9}" name="INITIAL SAVINGS"/>
    <tableColumn id="2" xr3:uid="{389077A5-0580-4E2E-A1CD-D0C2BBEB2D41}" name="MONTHLY SAVINGS"/>
    <tableColumn id="3" xr3:uid="{21C009A6-19DC-4624-BA81-441E004F9B31}" name="FINAL AMOUNT">
      <calculatedColumnFormula>E14+(F14*12)</calculatedColumnFormula>
    </tableColumn>
    <tableColumn id="4" xr3:uid="{E60603EA-D6FC-4F32-BB60-D8524E745BB9}" name="Q.TO REACH TARGET 200000 HOW MUCH SHOULD WE CHANGE 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6653-A0A6-492C-9D79-9355C26468B5}">
  <dimension ref="B2:O19"/>
  <sheetViews>
    <sheetView tabSelected="1" zoomScale="123" zoomScaleNormal="17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I6" sqref="I6"/>
    </sheetView>
  </sheetViews>
  <sheetFormatPr defaultRowHeight="15" x14ac:dyDescent="0.25"/>
  <cols>
    <col min="2" max="2" width="21.7109375" customWidth="1"/>
    <col min="3" max="3" width="12.7109375" bestFit="1" customWidth="1"/>
    <col min="5" max="5" width="10.7109375" bestFit="1" customWidth="1"/>
    <col min="6" max="6" width="11.28515625" bestFit="1" customWidth="1"/>
    <col min="7" max="8" width="11.28515625" customWidth="1"/>
    <col min="9" max="10" width="10.7109375" bestFit="1" customWidth="1"/>
    <col min="11" max="18" width="11.28515625" bestFit="1" customWidth="1"/>
  </cols>
  <sheetData>
    <row r="2" spans="2:15" x14ac:dyDescent="0.25">
      <c r="B2" s="1" t="s">
        <v>2</v>
      </c>
      <c r="C2" s="1"/>
      <c r="E2" s="1" t="s">
        <v>14</v>
      </c>
      <c r="F2" s="1"/>
      <c r="G2" s="1"/>
      <c r="K2" t="s">
        <v>15</v>
      </c>
    </row>
    <row r="3" spans="2:15" x14ac:dyDescent="0.25">
      <c r="B3" t="s">
        <v>0</v>
      </c>
      <c r="C3" s="4">
        <v>10000</v>
      </c>
      <c r="E3" t="s">
        <v>13</v>
      </c>
      <c r="F3" s="3">
        <f>C11</f>
        <v>999900</v>
      </c>
      <c r="J3" s="7">
        <f>C15</f>
        <v>181400</v>
      </c>
      <c r="K3" s="6">
        <v>8000</v>
      </c>
      <c r="L3" s="6">
        <v>8500</v>
      </c>
      <c r="M3" s="6">
        <v>9000</v>
      </c>
      <c r="N3" s="6">
        <v>9500</v>
      </c>
      <c r="O3" s="6">
        <v>10000</v>
      </c>
    </row>
    <row r="4" spans="2:15" x14ac:dyDescent="0.25">
      <c r="B4" t="s">
        <v>1</v>
      </c>
      <c r="C4" s="2">
        <v>99.99</v>
      </c>
      <c r="E4" s="2">
        <v>79.989999999999995</v>
      </c>
      <c r="F4" s="3">
        <f t="dataTable" ref="F4:F14" dt2D="0" dtr="0" r1="C4" ca="1"/>
        <v>799900</v>
      </c>
      <c r="I4" t="s">
        <v>13</v>
      </c>
      <c r="J4" s="5">
        <v>79.989999999999995</v>
      </c>
      <c r="K4" s="3">
        <f t="dataTable" ref="K4:O14" dt2D="1" dtr="1" r1="C3" r2="C4" ca="1"/>
        <v>-94280</v>
      </c>
      <c r="L4" s="3">
        <v>-75360</v>
      </c>
      <c r="M4" s="3">
        <v>-56440</v>
      </c>
      <c r="N4" s="3">
        <v>-37520</v>
      </c>
      <c r="O4" s="3">
        <v>-18600</v>
      </c>
    </row>
    <row r="5" spans="2:15" x14ac:dyDescent="0.25">
      <c r="B5" t="s">
        <v>6</v>
      </c>
      <c r="C5" s="2">
        <v>42.15</v>
      </c>
      <c r="E5" s="2">
        <v>84.99</v>
      </c>
      <c r="F5" s="3">
        <v>849900</v>
      </c>
      <c r="J5" s="5">
        <v>84.99</v>
      </c>
      <c r="K5" s="3">
        <v>-54280</v>
      </c>
      <c r="L5" s="3">
        <v>-32860</v>
      </c>
      <c r="M5" s="3">
        <v>-11440</v>
      </c>
      <c r="N5" s="3">
        <v>9980</v>
      </c>
      <c r="O5" s="3">
        <v>31400</v>
      </c>
    </row>
    <row r="6" spans="2:15" x14ac:dyDescent="0.25">
      <c r="B6" t="s">
        <v>7</v>
      </c>
      <c r="C6" s="3">
        <v>256000</v>
      </c>
      <c r="E6" s="2">
        <v>89.99</v>
      </c>
      <c r="F6" s="3">
        <v>899900</v>
      </c>
      <c r="J6" s="5">
        <v>89.99</v>
      </c>
      <c r="K6" s="3">
        <v>-14280</v>
      </c>
      <c r="L6" s="3">
        <v>9640</v>
      </c>
      <c r="M6" s="3">
        <v>33560</v>
      </c>
      <c r="N6" s="3">
        <v>57480</v>
      </c>
      <c r="O6" s="3">
        <v>81400</v>
      </c>
    </row>
    <row r="7" spans="2:15" x14ac:dyDescent="0.25">
      <c r="B7" t="s">
        <v>8</v>
      </c>
      <c r="C7" s="3">
        <v>90000</v>
      </c>
      <c r="E7" s="2">
        <v>94.99</v>
      </c>
      <c r="F7" s="3">
        <v>949900</v>
      </c>
      <c r="J7" s="5">
        <v>94.99</v>
      </c>
      <c r="K7" s="3">
        <v>25720</v>
      </c>
      <c r="L7" s="3">
        <v>52140</v>
      </c>
      <c r="M7" s="3">
        <v>78560</v>
      </c>
      <c r="N7" s="3">
        <v>104980</v>
      </c>
      <c r="O7" s="3">
        <v>131400</v>
      </c>
    </row>
    <row r="8" spans="2:15" x14ac:dyDescent="0.25">
      <c r="B8" t="s">
        <v>12</v>
      </c>
      <c r="C8" s="3">
        <v>51000</v>
      </c>
      <c r="E8" s="2">
        <v>99.99</v>
      </c>
      <c r="F8" s="3">
        <v>999900</v>
      </c>
      <c r="J8" s="5">
        <v>99.99</v>
      </c>
      <c r="K8" s="3">
        <v>65720</v>
      </c>
      <c r="L8" s="3">
        <v>94640</v>
      </c>
      <c r="M8" s="3">
        <v>123560</v>
      </c>
      <c r="N8" s="3">
        <v>152480</v>
      </c>
      <c r="O8" s="3">
        <v>181400</v>
      </c>
    </row>
    <row r="9" spans="2:15" x14ac:dyDescent="0.25">
      <c r="E9" s="2">
        <v>104.99</v>
      </c>
      <c r="F9" s="3">
        <v>1049900</v>
      </c>
      <c r="J9" s="5">
        <v>104.99</v>
      </c>
      <c r="K9" s="3">
        <v>105720</v>
      </c>
      <c r="L9" s="3">
        <v>137140</v>
      </c>
      <c r="M9" s="3">
        <v>168560</v>
      </c>
      <c r="N9" s="3">
        <v>199980</v>
      </c>
      <c r="O9" s="3">
        <v>231400</v>
      </c>
    </row>
    <row r="10" spans="2:15" x14ac:dyDescent="0.25">
      <c r="B10" s="10" t="s">
        <v>3</v>
      </c>
      <c r="C10" s="10"/>
      <c r="E10" s="2">
        <v>109.99</v>
      </c>
      <c r="F10" s="3">
        <v>1099900</v>
      </c>
      <c r="J10" s="5">
        <v>109.99</v>
      </c>
      <c r="K10" s="3">
        <v>145720</v>
      </c>
      <c r="L10" s="3">
        <v>179640</v>
      </c>
      <c r="M10" s="3">
        <v>213560</v>
      </c>
      <c r="N10" s="3">
        <v>247480</v>
      </c>
      <c r="O10" s="3">
        <v>281400</v>
      </c>
    </row>
    <row r="11" spans="2:15" x14ac:dyDescent="0.25">
      <c r="B11" t="s">
        <v>4</v>
      </c>
      <c r="C11" s="3">
        <f>C3*C4</f>
        <v>999900</v>
      </c>
      <c r="E11" s="2">
        <v>114.99</v>
      </c>
      <c r="F11" s="3">
        <v>1149900</v>
      </c>
      <c r="J11" s="5">
        <v>114.99</v>
      </c>
      <c r="K11" s="3">
        <v>185720</v>
      </c>
      <c r="L11" s="3">
        <v>222140</v>
      </c>
      <c r="M11" s="3">
        <v>258560</v>
      </c>
      <c r="N11" s="3">
        <v>294980</v>
      </c>
      <c r="O11" s="3">
        <v>331400</v>
      </c>
    </row>
    <row r="12" spans="2:15" x14ac:dyDescent="0.25">
      <c r="B12" t="s">
        <v>5</v>
      </c>
      <c r="C12" s="3">
        <f>C3*C5</f>
        <v>421500</v>
      </c>
      <c r="E12" s="2">
        <v>119.99</v>
      </c>
      <c r="F12" s="3">
        <v>1199900</v>
      </c>
      <c r="J12" s="5">
        <v>119.99</v>
      </c>
      <c r="K12" s="3">
        <v>225720</v>
      </c>
      <c r="L12" s="3">
        <v>264640</v>
      </c>
      <c r="M12" s="3">
        <v>303560</v>
      </c>
      <c r="N12" s="3">
        <v>342480</v>
      </c>
      <c r="O12" s="3">
        <v>381400</v>
      </c>
    </row>
    <row r="13" spans="2:15" x14ac:dyDescent="0.25">
      <c r="B13" t="s">
        <v>9</v>
      </c>
      <c r="C13" s="3">
        <f>C11-C12</f>
        <v>578400</v>
      </c>
      <c r="E13" s="2">
        <v>124.99</v>
      </c>
      <c r="F13" s="3">
        <v>1249900</v>
      </c>
      <c r="J13" s="5">
        <v>124.99</v>
      </c>
      <c r="K13" s="3">
        <v>265720</v>
      </c>
      <c r="L13" s="3">
        <v>307140</v>
      </c>
      <c r="M13" s="3">
        <v>348560</v>
      </c>
      <c r="N13" s="3">
        <v>389980</v>
      </c>
      <c r="O13" s="3">
        <v>431400</v>
      </c>
    </row>
    <row r="14" spans="2:15" x14ac:dyDescent="0.25">
      <c r="B14" t="s">
        <v>10</v>
      </c>
      <c r="C14" s="3">
        <f>C6+C7+C8</f>
        <v>397000</v>
      </c>
      <c r="E14" s="2">
        <v>129.99</v>
      </c>
      <c r="F14" s="3">
        <v>1299900</v>
      </c>
      <c r="J14" s="5">
        <v>129.99</v>
      </c>
      <c r="K14" s="3">
        <v>305720.00000000012</v>
      </c>
      <c r="L14" s="3">
        <v>349640</v>
      </c>
      <c r="M14" s="3">
        <v>393560</v>
      </c>
      <c r="N14" s="3">
        <v>437480</v>
      </c>
      <c r="O14" s="3">
        <v>481400</v>
      </c>
    </row>
    <row r="15" spans="2:15" x14ac:dyDescent="0.25">
      <c r="B15" t="s">
        <v>11</v>
      </c>
      <c r="C15" s="3">
        <f>C13-C14</f>
        <v>181400</v>
      </c>
    </row>
    <row r="17" spans="5:11" x14ac:dyDescent="0.25">
      <c r="E17" t="s">
        <v>36</v>
      </c>
      <c r="F17">
        <v>4500</v>
      </c>
      <c r="G17">
        <v>5000</v>
      </c>
      <c r="H17">
        <v>5500</v>
      </c>
      <c r="I17">
        <v>6000</v>
      </c>
      <c r="J17">
        <v>6500</v>
      </c>
      <c r="K17">
        <v>7000</v>
      </c>
    </row>
    <row r="18" spans="5:11" x14ac:dyDescent="0.25">
      <c r="E18" s="3">
        <f>C11</f>
        <v>999900</v>
      </c>
      <c r="F18">
        <f t="dataTable" ref="F18:K18" dt2D="0" dtr="1" r1="C3"/>
        <v>449955</v>
      </c>
      <c r="G18">
        <v>499950</v>
      </c>
      <c r="H18">
        <v>549945</v>
      </c>
      <c r="I18">
        <v>599940</v>
      </c>
      <c r="J18">
        <v>649935</v>
      </c>
      <c r="K18">
        <v>699930</v>
      </c>
    </row>
    <row r="19" spans="5:11" x14ac:dyDescent="0.25">
      <c r="E19" s="3"/>
    </row>
  </sheetData>
  <mergeCells count="1"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41A9-05ED-469D-B711-59A0BF20686A}">
  <dimension ref="A1:H14"/>
  <sheetViews>
    <sheetView topLeftCell="C1" zoomScale="111" zoomScaleNormal="194" workbookViewId="0">
      <selection activeCell="H14" sqref="H14"/>
    </sheetView>
  </sheetViews>
  <sheetFormatPr defaultRowHeight="15" x14ac:dyDescent="0.25"/>
  <cols>
    <col min="1" max="1" width="20.5703125" customWidth="1"/>
    <col min="5" max="5" width="17.42578125" customWidth="1"/>
    <col min="6" max="6" width="18.42578125" customWidth="1"/>
    <col min="7" max="7" width="15.28515625" customWidth="1"/>
    <col min="8" max="8" width="48.5703125" customWidth="1"/>
  </cols>
  <sheetData>
    <row r="1" spans="1:8" x14ac:dyDescent="0.25">
      <c r="A1" t="s">
        <v>16</v>
      </c>
      <c r="B1" t="s">
        <v>20</v>
      </c>
      <c r="E1" t="s">
        <v>23</v>
      </c>
      <c r="F1" t="s">
        <v>31</v>
      </c>
      <c r="H1" t="s">
        <v>24</v>
      </c>
    </row>
    <row r="2" spans="1:8" x14ac:dyDescent="0.25">
      <c r="A2" t="s">
        <v>19</v>
      </c>
      <c r="B2">
        <v>37.837837837837704</v>
      </c>
      <c r="E2">
        <f>40000+Table2[[#This Row],[REQUIRED INCREASE]]</f>
        <v>100000</v>
      </c>
      <c r="F2">
        <v>60000</v>
      </c>
    </row>
    <row r="3" spans="1:8" x14ac:dyDescent="0.25">
      <c r="A3" t="s">
        <v>17</v>
      </c>
      <c r="B3">
        <v>45000</v>
      </c>
      <c r="E3">
        <f>75000+Table2[[#This Row],[REQUIRED INCREASE]]</f>
        <v>110000.00000000001</v>
      </c>
      <c r="F3">
        <v>35000.000000000015</v>
      </c>
    </row>
    <row r="4" spans="1:8" x14ac:dyDescent="0.25">
      <c r="A4" t="s">
        <v>18</v>
      </c>
      <c r="B4">
        <v>71428.571428571435</v>
      </c>
      <c r="E4">
        <f>90000+Table2[[#This Row],[REQUIRED INCREASE]]</f>
        <v>120000</v>
      </c>
      <c r="F4">
        <v>29999.999999999993</v>
      </c>
    </row>
    <row r="5" spans="1:8" x14ac:dyDescent="0.25">
      <c r="A5" t="s">
        <v>21</v>
      </c>
      <c r="B5">
        <f>B2*B4</f>
        <v>2702702.7027026932</v>
      </c>
    </row>
    <row r="6" spans="1:8" x14ac:dyDescent="0.25">
      <c r="A6" t="s">
        <v>22</v>
      </c>
      <c r="B6">
        <f>B5-(B3*B2)</f>
        <v>999999.99999999651</v>
      </c>
    </row>
    <row r="7" spans="1:8" x14ac:dyDescent="0.25">
      <c r="E7" t="s">
        <v>34</v>
      </c>
      <c r="F7" t="s">
        <v>33</v>
      </c>
      <c r="H7" t="s">
        <v>27</v>
      </c>
    </row>
    <row r="8" spans="1:8" x14ac:dyDescent="0.25">
      <c r="E8" t="s">
        <v>32</v>
      </c>
      <c r="F8">
        <v>449.99999999999977</v>
      </c>
    </row>
    <row r="9" spans="1:8" x14ac:dyDescent="0.25">
      <c r="E9" t="s">
        <v>25</v>
      </c>
      <c r="F9">
        <v>600</v>
      </c>
    </row>
    <row r="10" spans="1:8" x14ac:dyDescent="0.25">
      <c r="E10" t="s">
        <v>26</v>
      </c>
      <c r="F10" s="11">
        <f>F8/F9*100</f>
        <v>74.999999999999972</v>
      </c>
    </row>
    <row r="12" spans="1:8" x14ac:dyDescent="0.25">
      <c r="E12" s="8" t="s">
        <v>28</v>
      </c>
    </row>
    <row r="13" spans="1:8" x14ac:dyDescent="0.25">
      <c r="E13" t="s">
        <v>29</v>
      </c>
      <c r="F13" t="s">
        <v>28</v>
      </c>
      <c r="G13" t="s">
        <v>30</v>
      </c>
      <c r="H13" s="9" t="s">
        <v>35</v>
      </c>
    </row>
    <row r="14" spans="1:8" x14ac:dyDescent="0.25">
      <c r="E14">
        <v>50000</v>
      </c>
      <c r="F14">
        <v>12500</v>
      </c>
      <c r="G14">
        <f>E14+(F14*12)</f>
        <v>200000</v>
      </c>
      <c r="H14" s="9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DATATABLES</vt:lpstr>
      <vt:lpstr>GOAL SEEK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Chester Tugwell</dc:creator>
  <cp:lastModifiedBy>user</cp:lastModifiedBy>
  <dcterms:created xsi:type="dcterms:W3CDTF">2022-02-01T14:00:28Z</dcterms:created>
  <dcterms:modified xsi:type="dcterms:W3CDTF">2026-07-24T05:39:45Z</dcterms:modified>
</cp:coreProperties>
</file>